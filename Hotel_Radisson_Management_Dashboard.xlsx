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E:\Excel Projects\"/>
    </mc:Choice>
  </mc:AlternateContent>
  <bookViews>
    <workbookView xWindow="0" yWindow="0" windowWidth="20490" windowHeight="8790" activeTab="2"/>
  </bookViews>
  <sheets>
    <sheet name="Radisson hotel data" sheetId="5" r:id="rId1"/>
    <sheet name="pivote table" sheetId="4" r:id="rId2"/>
    <sheet name="Dashboard" sheetId="2" r:id="rId3"/>
  </sheets>
  <definedNames>
    <definedName name="ExternalData_1" localSheetId="0" hidden="1">'Radisson hotel data'!$A$1:$M$121</definedName>
    <definedName name="Slicer_Month">#N/A</definedName>
  </definedNames>
  <calcPr calcId="162913"/>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onnections.xml><?xml version="1.0" encoding="utf-8"?>
<connections xmlns="http://schemas.openxmlformats.org/spreadsheetml/2006/main">
  <connection id="1" keepAlive="1" name="Query - Sheet1" description="Connection to the 'Sheet1' query in the workbook." type="5" refreshedVersion="6"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<sst xmlns="http://schemas.openxmlformats.org/spreadsheetml/2006/main" count="887" uniqueCount="281">
  <si>
    <t>Booking_ID</t>
  </si>
  <si>
    <t>Room_Type</t>
  </si>
  <si>
    <t>Nights_Stayed</t>
  </si>
  <si>
    <t>Room_Rate</t>
  </si>
  <si>
    <t>Booking_Source</t>
  </si>
  <si>
    <t>Occupancy_Status</t>
  </si>
  <si>
    <t>Profit</t>
  </si>
  <si>
    <t>Deluxe</t>
  </si>
  <si>
    <t>Suite</t>
  </si>
  <si>
    <t>Travel Agent</t>
  </si>
  <si>
    <t>Occupied</t>
  </si>
  <si>
    <t>Vacant</t>
  </si>
  <si>
    <t>Online</t>
  </si>
  <si>
    <t>Row Labels</t>
  </si>
  <si>
    <t>Grand Total</t>
  </si>
  <si>
    <t>Date</t>
  </si>
  <si>
    <t>Month</t>
  </si>
  <si>
    <t>Total_Revenue</t>
  </si>
  <si>
    <t>Guest_Rating</t>
  </si>
  <si>
    <t>Country</t>
  </si>
  <si>
    <t>Expenses</t>
  </si>
  <si>
    <t>R001</t>
  </si>
  <si>
    <t>September</t>
  </si>
  <si>
    <t>Executive</t>
  </si>
  <si>
    <t>Cancelled</t>
  </si>
  <si>
    <t>Walk-in</t>
  </si>
  <si>
    <t>India</t>
  </si>
  <si>
    <t>R002</t>
  </si>
  <si>
    <t>June</t>
  </si>
  <si>
    <t>R003</t>
  </si>
  <si>
    <t>August</t>
  </si>
  <si>
    <t>Australia</t>
  </si>
  <si>
    <t>R004</t>
  </si>
  <si>
    <t>October</t>
  </si>
  <si>
    <t>Family</t>
  </si>
  <si>
    <t>UAE</t>
  </si>
  <si>
    <t>R005</t>
  </si>
  <si>
    <t>USA</t>
  </si>
  <si>
    <t>R006</t>
  </si>
  <si>
    <t>March</t>
  </si>
  <si>
    <t>Standard</t>
  </si>
  <si>
    <t>Corporate</t>
  </si>
  <si>
    <t>R007</t>
  </si>
  <si>
    <t>July</t>
  </si>
  <si>
    <t>Singapore</t>
  </si>
  <si>
    <t>R008</t>
  </si>
  <si>
    <t>R009</t>
  </si>
  <si>
    <t>February</t>
  </si>
  <si>
    <t>R010</t>
  </si>
  <si>
    <t>Canada</t>
  </si>
  <si>
    <t>R011</t>
  </si>
  <si>
    <t>R012</t>
  </si>
  <si>
    <t>May</t>
  </si>
  <si>
    <t>R013</t>
  </si>
  <si>
    <t>UK</t>
  </si>
  <si>
    <t>R014</t>
  </si>
  <si>
    <t>R015</t>
  </si>
  <si>
    <t>Germany</t>
  </si>
  <si>
    <t>R016</t>
  </si>
  <si>
    <t>R017</t>
  </si>
  <si>
    <t>R018</t>
  </si>
  <si>
    <t>R019</t>
  </si>
  <si>
    <t>R020</t>
  </si>
  <si>
    <t>April</t>
  </si>
  <si>
    <t>R021</t>
  </si>
  <si>
    <t>R022</t>
  </si>
  <si>
    <t>R023</t>
  </si>
  <si>
    <t>January</t>
  </si>
  <si>
    <t>R024</t>
  </si>
  <si>
    <t>R025</t>
  </si>
  <si>
    <t>R026</t>
  </si>
  <si>
    <t>R027</t>
  </si>
  <si>
    <t>R028</t>
  </si>
  <si>
    <t>R029</t>
  </si>
  <si>
    <t>R030</t>
  </si>
  <si>
    <t>Japan</t>
  </si>
  <si>
    <t>R031</t>
  </si>
  <si>
    <t>R032</t>
  </si>
  <si>
    <t>R033</t>
  </si>
  <si>
    <t>R034</t>
  </si>
  <si>
    <t>France</t>
  </si>
  <si>
    <t>R035</t>
  </si>
  <si>
    <t>R036</t>
  </si>
  <si>
    <t>R037</t>
  </si>
  <si>
    <t>November</t>
  </si>
  <si>
    <t>R038</t>
  </si>
  <si>
    <t>R039</t>
  </si>
  <si>
    <t>R040</t>
  </si>
  <si>
    <t>R041</t>
  </si>
  <si>
    <t>R042</t>
  </si>
  <si>
    <t>R043</t>
  </si>
  <si>
    <t>R044</t>
  </si>
  <si>
    <t>R045</t>
  </si>
  <si>
    <t>R046</t>
  </si>
  <si>
    <t>R047</t>
  </si>
  <si>
    <t>R048</t>
  </si>
  <si>
    <t>R049</t>
  </si>
  <si>
    <t>R050</t>
  </si>
  <si>
    <t>R051</t>
  </si>
  <si>
    <t>R052</t>
  </si>
  <si>
    <t>R053</t>
  </si>
  <si>
    <t>R054</t>
  </si>
  <si>
    <t>R055</t>
  </si>
  <si>
    <t>R056</t>
  </si>
  <si>
    <t>R057</t>
  </si>
  <si>
    <t>R058</t>
  </si>
  <si>
    <t>R059</t>
  </si>
  <si>
    <t>R060</t>
  </si>
  <si>
    <t>R061</t>
  </si>
  <si>
    <t>R062</t>
  </si>
  <si>
    <t>R063</t>
  </si>
  <si>
    <t>R064</t>
  </si>
  <si>
    <t>R065</t>
  </si>
  <si>
    <t>R066</t>
  </si>
  <si>
    <t>R067</t>
  </si>
  <si>
    <t>R068</t>
  </si>
  <si>
    <t>R069</t>
  </si>
  <si>
    <t>R070</t>
  </si>
  <si>
    <t>R071</t>
  </si>
  <si>
    <t>R072</t>
  </si>
  <si>
    <t>R073</t>
  </si>
  <si>
    <t>R074</t>
  </si>
  <si>
    <t>R075</t>
  </si>
  <si>
    <t>R076</t>
  </si>
  <si>
    <t>R077</t>
  </si>
  <si>
    <t>R078</t>
  </si>
  <si>
    <t>R079</t>
  </si>
  <si>
    <t>R080</t>
  </si>
  <si>
    <t>R081</t>
  </si>
  <si>
    <t>R082</t>
  </si>
  <si>
    <t>R083</t>
  </si>
  <si>
    <t>R084</t>
  </si>
  <si>
    <t>R085</t>
  </si>
  <si>
    <t>December</t>
  </si>
  <si>
    <t>R086</t>
  </si>
  <si>
    <t>R087</t>
  </si>
  <si>
    <t>R088</t>
  </si>
  <si>
    <t>R089</t>
  </si>
  <si>
    <t>R090</t>
  </si>
  <si>
    <t>R091</t>
  </si>
  <si>
    <t>R092</t>
  </si>
  <si>
    <t>R093</t>
  </si>
  <si>
    <t>R094</t>
  </si>
  <si>
    <t>R095</t>
  </si>
  <si>
    <t>R096</t>
  </si>
  <si>
    <t>R097</t>
  </si>
  <si>
    <t>R098</t>
  </si>
  <si>
    <t>R099</t>
  </si>
  <si>
    <t>R100</t>
  </si>
  <si>
    <t>R101</t>
  </si>
  <si>
    <t>R102</t>
  </si>
  <si>
    <t>R103</t>
  </si>
  <si>
    <t>R104</t>
  </si>
  <si>
    <t>R105</t>
  </si>
  <si>
    <t>R106</t>
  </si>
  <si>
    <t>R107</t>
  </si>
  <si>
    <t>R108</t>
  </si>
  <si>
    <t>R109</t>
  </si>
  <si>
    <t>R110</t>
  </si>
  <si>
    <t>R111</t>
  </si>
  <si>
    <t>R112</t>
  </si>
  <si>
    <t>R113</t>
  </si>
  <si>
    <t>R114</t>
  </si>
  <si>
    <t>R115</t>
  </si>
  <si>
    <t>R116</t>
  </si>
  <si>
    <t>R117</t>
  </si>
  <si>
    <t>R118</t>
  </si>
  <si>
    <t>R119</t>
  </si>
  <si>
    <t>R120</t>
  </si>
  <si>
    <t>Sum of Profit</t>
  </si>
  <si>
    <t>profit by country</t>
  </si>
  <si>
    <t>profit by room types</t>
  </si>
  <si>
    <t>Count of Occupancy_Status</t>
  </si>
  <si>
    <t>occupy status</t>
  </si>
  <si>
    <t>profit by booking source</t>
  </si>
  <si>
    <t>Sum of Total_Revenue</t>
  </si>
  <si>
    <t>total revenue vs guest rating</t>
  </si>
  <si>
    <t>Column Labels</t>
  </si>
  <si>
    <t>Count of Booking_Source</t>
  </si>
  <si>
    <t>06-Jan</t>
  </si>
  <si>
    <t>08-Jan</t>
  </si>
  <si>
    <t>11-Jan</t>
  </si>
  <si>
    <t>13-Jan</t>
  </si>
  <si>
    <t>14-Jan</t>
  </si>
  <si>
    <t>15-Jan</t>
  </si>
  <si>
    <t>17-Jan</t>
  </si>
  <si>
    <t>28-Jan</t>
  </si>
  <si>
    <t>05-Feb</t>
  </si>
  <si>
    <t>07-Feb</t>
  </si>
  <si>
    <t>09-Feb</t>
  </si>
  <si>
    <t>11-Feb</t>
  </si>
  <si>
    <t>13-Feb</t>
  </si>
  <si>
    <t>18-Feb</t>
  </si>
  <si>
    <t>19-Feb</t>
  </si>
  <si>
    <t>20-Feb</t>
  </si>
  <si>
    <t>21-Feb</t>
  </si>
  <si>
    <t>22-Feb</t>
  </si>
  <si>
    <t>24-Feb</t>
  </si>
  <si>
    <t>25-Feb</t>
  </si>
  <si>
    <t>26-Feb</t>
  </si>
  <si>
    <t>01-Mar</t>
  </si>
  <si>
    <t>04-Mar</t>
  </si>
  <si>
    <t>05-Mar</t>
  </si>
  <si>
    <t>06-Mar</t>
  </si>
  <si>
    <t>08-Mar</t>
  </si>
  <si>
    <t>14-Mar</t>
  </si>
  <si>
    <t>17-Mar</t>
  </si>
  <si>
    <t>18-Mar</t>
  </si>
  <si>
    <t>24-Mar</t>
  </si>
  <si>
    <t>01-Apr</t>
  </si>
  <si>
    <t>02-Apr</t>
  </si>
  <si>
    <t>05-Apr</t>
  </si>
  <si>
    <t>08-Apr</t>
  </si>
  <si>
    <t>09-Apr</t>
  </si>
  <si>
    <t>13-Apr</t>
  </si>
  <si>
    <t>18-Apr</t>
  </si>
  <si>
    <t>20-Apr</t>
  </si>
  <si>
    <t>24-Apr</t>
  </si>
  <si>
    <t>26-Apr</t>
  </si>
  <si>
    <t>27-Apr</t>
  </si>
  <si>
    <t>28-Apr</t>
  </si>
  <si>
    <t>04-May</t>
  </si>
  <si>
    <t>05-May</t>
  </si>
  <si>
    <t>12-May</t>
  </si>
  <si>
    <t>14-May</t>
  </si>
  <si>
    <t>15-May</t>
  </si>
  <si>
    <t>22-May</t>
  </si>
  <si>
    <t>23-May</t>
  </si>
  <si>
    <t>25-May</t>
  </si>
  <si>
    <t>26-May</t>
  </si>
  <si>
    <t>07-Jun</t>
  </si>
  <si>
    <t>10-Jun</t>
  </si>
  <si>
    <t>12-Jun</t>
  </si>
  <si>
    <t>29-Jun</t>
  </si>
  <si>
    <t>01-Jul</t>
  </si>
  <si>
    <t>06-Jul</t>
  </si>
  <si>
    <t>09-Jul</t>
  </si>
  <si>
    <t>12-Jul</t>
  </si>
  <si>
    <t>14-Jul</t>
  </si>
  <si>
    <t>15-Jul</t>
  </si>
  <si>
    <t>16-Jul</t>
  </si>
  <si>
    <t>17-Jul</t>
  </si>
  <si>
    <t>18-Jul</t>
  </si>
  <si>
    <t>24-Jul</t>
  </si>
  <si>
    <t>25-Jul</t>
  </si>
  <si>
    <t>27-Jul</t>
  </si>
  <si>
    <t>28-Jul</t>
  </si>
  <si>
    <t>01-Aug</t>
  </si>
  <si>
    <t>05-Aug</t>
  </si>
  <si>
    <t>10-Aug</t>
  </si>
  <si>
    <t>16-Aug</t>
  </si>
  <si>
    <t>17-Aug</t>
  </si>
  <si>
    <t>19-Aug</t>
  </si>
  <si>
    <t>21-Aug</t>
  </si>
  <si>
    <t>27-Aug</t>
  </si>
  <si>
    <t>29-Aug</t>
  </si>
  <si>
    <t>30-Aug</t>
  </si>
  <si>
    <t>12-Sep</t>
  </si>
  <si>
    <t>19-Sep</t>
  </si>
  <si>
    <t>22-Sep</t>
  </si>
  <si>
    <t>27-Sep</t>
  </si>
  <si>
    <t>29-Sep</t>
  </si>
  <si>
    <t>30-Sep</t>
  </si>
  <si>
    <t>03-Oct</t>
  </si>
  <si>
    <t>05-Oct</t>
  </si>
  <si>
    <t>07-Oct</t>
  </si>
  <si>
    <t>11-Oct</t>
  </si>
  <si>
    <t>14-Oct</t>
  </si>
  <si>
    <t>21-Oct</t>
  </si>
  <si>
    <t>22-Oct</t>
  </si>
  <si>
    <t>23-Oct</t>
  </si>
  <si>
    <t>26-Oct</t>
  </si>
  <si>
    <t>31-Oct</t>
  </si>
  <si>
    <t>01-Nov</t>
  </si>
  <si>
    <t>05-Nov</t>
  </si>
  <si>
    <t>06-Nov</t>
  </si>
  <si>
    <t>14-Nov</t>
  </si>
  <si>
    <t>16-Nov</t>
  </si>
  <si>
    <t>26-Nov</t>
  </si>
  <si>
    <t>29-Nov</t>
  </si>
  <si>
    <t>01-Dec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</si>
</sst>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 x14ac:knownFonts="1">
    <font>
      <sz val="11"/>
      <color theme="1"/>
      <name val="Calibri"/>
      <family val="2"/>
      <scheme val="minor"/>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0" fillId="0" borderId="0" xfId="0" applyNumberFormat="1"/>
    <xf numFmtId="0" fontId="0" fillId="0" borderId="0" xfId="0" pivotButton="1"/>
    <xf numFmtId="164" fontId="0" fillId="0" borderId="0" xfId="0" applyNumberFormat="1" applyAlignment="1">
      <alignment horizontal="left"/>
    </xf>
    <xf numFmtId="14" fontId="0" fillId="0" borderId="0" xfId="0" applyNumberFormat="1"/>
    <xf numFmtId="0" fontId="0" fillId="0" borderId="0" xfId="0" applyAlignment="1">
      <alignment horizontal="left"/>
    </xf>
    <xf numFmtId="14" fontId="0" fillId="0" borderId="0" xfId="0" applyNumberFormat="1" applyAlignment="1">
      <alignment horizontal="left"/>
    </xf>
  </cellXfs>
  <cellStyles count="1">
    <cellStyle name="Normal" xfId="0" builtinId="0"/>
  </cellStyles>
  <dxfs count="30">
    <dxf>
      <numFmt numFmtId="14" formatCode="0.00%"/>
    </dxf>
    <dxf>
      <numFmt numFmtId="0" formatCode="General"/>
    </dxf>
    <dxf>
      <numFmt numFmtId="14" formatCode="0.00%"/>
    </dxf>
    <dxf>
      <numFmt numFmtId="0" formatCode="General"/>
    </dxf>
    <dxf>
      <numFmt numFmtId="14" formatCode="0.00%"/>
    </dxf>
    <dxf>
      <numFmt numFmtId="0" formatCode="General"/>
    </dxf>
    <dxf>
      <numFmt numFmtId="14" formatCode="0.00%"/>
    </dxf>
    <dxf>
      <numFmt numFmtId="0" formatCode="General"/>
    </dxf>
    <dxf>
      <numFmt numFmtId="0" formatCode="General"/>
    </dxf>
    <dxf>
      <numFmt numFmtId="14" formatCode="0.00%"/>
    </dxf>
    <dxf>
      <numFmt numFmtId="0" formatCode="General"/>
    </dxf>
    <dxf>
      <numFmt numFmtId="14" formatCode="0.00%"/>
    </dxf>
    <dxf>
      <numFmt numFmtId="0" formatCode="General"/>
    </dxf>
    <dxf>
      <numFmt numFmtId="14" formatCode="0.00%"/>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font>
        <color theme="1"/>
      </font>
    </dxf>
  </dxfs>
  <tableStyles count="2" defaultTableStyle="TableStyleMedium9" defaultPivotStyle="PivotStyleLight16">
    <tableStyle name="Slicer Style 1" pivot="0" table="0" count="1"/>
    <tableStyle name="Slicer Style 2" pivot="0" table="0" count="1">
      <tableStyleElement type="wholeTable" dxfId="29"/>
    </tableStyle>
  </tableStyles>
  <extLst>
    <ext xmlns:x14="http://schemas.microsoft.com/office/spreadsheetml/2009/9/main" uri="{46F421CA-312F-682f-3DD2-61675219B42D}">
      <x14:dxfs count="1">
        <dxf>
          <font>
            <color rgb="FFFFFF00"/>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[Hotel_Radisson_Management_Dashboard.xlsx]pivote table!PivotTable3</c:name>
    <c:fmtId val="2"/>
  </c:pivotSource>
  <c:chart>
    <c:autoTitleDeleted val="1"/>
    <c:pivotFmts>
      <c:pivotFmt>
        <c:idx val="0"/>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'pivote table'!$E$2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75D-403D-997F-B7F44055154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75D-403D-997F-B7F44055154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75D-403D-997F-B7F44055154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75D-403D-997F-B7F44055154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575D-403D-997F-B7F4405515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'pivote table'!$D$3:$D$8</c:f>
              <c:strCache>
                <c:ptCount val="5"/>
                <c:pt idx="0">
                  <c:v>Deluxe</c:v>
                </c:pt>
                <c:pt idx="1">
                  <c:v>Executive</c:v>
                </c:pt>
                <c:pt idx="2">
                  <c:v>Family</c:v>
                </c:pt>
                <c:pt idx="3">
                  <c:v>Standard</c:v>
                </c:pt>
                <c:pt idx="4">
                  <c:v>Suite</c:v>
                </c:pt>
              </c:strCache>
            </c:strRef>
          </c:cat>
          <c:val>
            <c:numRef>
              <c:f>'pivote table'!$E$3:$E$8</c:f>
              <c:numCache>
                <c:formatCode>General</c:formatCode>
                <c:ptCount val="5"/>
                <c:pt idx="0">
                  <c:v>145856</c:v>
                </c:pt>
                <c:pt idx="1">
                  <c:v>316183</c:v>
                </c:pt>
                <c:pt idx="2">
                  <c:v>267338</c:v>
                </c:pt>
                <c:pt idx="3">
                  <c:v>157511</c:v>
                </c:pt>
                <c:pt idx="4">
                  <c:v>786839</c:v>
                </c:pt>
              </c:numCache>
            </c:numRef>
          </c:val>
          <c:extLst>
            <c:ext xmlns:c16="http://schemas.microsoft.com/office/drawing/2014/chart" uri="{C3380CC4-5D6E-409C-BE32-E72D297353CC}">
              <c16:uniqueId val="{0000000A-575D-403D-997F-B7F44055154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1670689543965505"/>
          <c:y val="0.3046861329833771"/>
          <c:w val="0.20919912707830204"/>
          <c:h val="0.390627734033245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[Hotel_Radisson_Management_Dashboard.xlsx]pivote table!PivotTable5</c:name>
    <c:fmtId val="4"/>
  </c:pivotSource>
  <c:chart>
    <c:autoTitleDeleted val="1"/>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6111111111111108E-2"/>
          <c:y val="7.407407407407407E-2"/>
          <c:w val="0.93888888888888888"/>
          <c:h val="0.73610073648312979"/>
        </c:manualLayout>
      </c:layout>
      <c:barChart>
        <c:barDir val="col"/>
        <c:grouping val="clustered"/>
        <c:varyColors val="0"/>
        <c:ser>
          <c:idx val="0"/>
          <c:order val="0"/>
          <c:tx>
            <c:strRef>
              <c:f>'pivote table'!$K$2</c:f>
              <c:strCache>
                <c:ptCount val="1"/>
                <c:pt idx="0">
                  <c:v>Total</c:v>
                </c:pt>
              </c:strCache>
            </c:strRef>
          </c:tx>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'pivote table'!$J$3:$J$6</c:f>
              <c:strCache>
                <c:ptCount val="4"/>
                <c:pt idx="0">
                  <c:v>Corporate</c:v>
                </c:pt>
                <c:pt idx="1">
                  <c:v>Online</c:v>
                </c:pt>
                <c:pt idx="2">
                  <c:v>Travel Agent</c:v>
                </c:pt>
                <c:pt idx="3">
                  <c:v>Walk-in</c:v>
                </c:pt>
              </c:strCache>
            </c:strRef>
          </c:cat>
          <c:val>
            <c:numRef>
              <c:f>'pivote table'!$K$3:$K$6</c:f>
              <c:numCache>
                <c:formatCode>General</c:formatCode>
                <c:ptCount val="4"/>
                <c:pt idx="0">
                  <c:v>296630</c:v>
                </c:pt>
                <c:pt idx="1">
                  <c:v>412124</c:v>
                </c:pt>
                <c:pt idx="2">
                  <c:v>508120</c:v>
                </c:pt>
                <c:pt idx="3">
                  <c:v>456853</c:v>
                </c:pt>
              </c:numCache>
            </c:numRef>
          </c:val>
          <c:extLst>
            <c:ext xmlns:c16="http://schemas.microsoft.com/office/drawing/2014/chart" uri="{C3380CC4-5D6E-409C-BE32-E72D297353CC}">
              <c16:uniqueId val="{00000000-5C3D-4143-B51D-277EBBDCD666}"/>
            </c:ext>
          </c:extLst>
        </c:ser>
        <c:dLbls>
          <c:showLegendKey val="0"/>
          <c:showVal val="0"/>
          <c:showCatName val="0"/>
          <c:showSerName val="0"/>
          <c:showPercent val="0"/>
          <c:showBubbleSize val="0"/>
        </c:dLbls>
        <c:gapWidth val="100"/>
        <c:overlap val="-24"/>
        <c:axId val="1368944944"/>
        <c:axId val="1368939120"/>
      </c:barChart>
      <c:catAx>
        <c:axId val="13689449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8939120"/>
        <c:crosses val="autoZero"/>
        <c:auto val="1"/>
        <c:lblAlgn val="ctr"/>
        <c:lblOffset val="100"/>
        <c:noMultiLvlLbl val="0"/>
      </c:catAx>
      <c:valAx>
        <c:axId val="1368939120"/>
        <c:scaling>
          <c:orientation val="minMax"/>
        </c:scaling>
        <c:delete val="1"/>
        <c:axPos val="l"/>
        <c:numFmt formatCode="General" sourceLinked="1"/>
        <c:majorTickMark val="none"/>
        <c:minorTickMark val="none"/>
        <c:tickLblPos val="nextTo"/>
        <c:crossAx val="1368944944"/>
        <c:crosses val="autoZero"/>
        <c:crossBetween val="between"/>
      </c:valAx>
      <c:spPr>
        <a:noFill/>
        <a:ln>
          <a:noFill/>
        </a:ln>
        <a:effectLst/>
      </c:spPr>
    </c:plotArea>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[Hotel_Radisson_Management_Dashboard.xlsx]pivote table!PivotTable2</c:name>
    <c:fmtId val="4"/>
  </c:pivotSource>
  <c:chart>
    <c:autoTitleDeleted val="1"/>
    <c:pivotFmts>
      <c:pivotFmt>
        <c:idx val="0"/>
      </c:pivotFmt>
      <c:pivotFmt>
        <c:idx val="1"/>
      </c:pivotFmt>
      <c:pivotFmt>
        <c:idx val="2"/>
      </c:pivotFmt>
      <c:pivotFmt>
        <c:idx val="3"/>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0639939120796582"/>
          <c:y val="6.0889028871391075E-2"/>
          <c:w val="0.82661307961504815"/>
          <c:h val="0.89814814814814814"/>
        </c:manualLayout>
      </c:layout>
      <c:barChart>
        <c:barDir val="bar"/>
        <c:grouping val="clustered"/>
        <c:varyColors val="0"/>
        <c:ser>
          <c:idx val="0"/>
          <c:order val="0"/>
          <c:tx>
            <c:strRef>
              <c:f>'pivote table'!$B$2</c:f>
              <c:strCache>
                <c:ptCount val="1"/>
                <c:pt idx="0">
                  <c:v>Total</c:v>
                </c:pt>
              </c:strCache>
            </c:strRef>
          </c:tx>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'pivote table'!$A$3:$A$13</c:f>
              <c:strCache>
                <c:ptCount val="10"/>
                <c:pt idx="0">
                  <c:v>Australia</c:v>
                </c:pt>
                <c:pt idx="1">
                  <c:v>Canada</c:v>
                </c:pt>
                <c:pt idx="2">
                  <c:v>France</c:v>
                </c:pt>
                <c:pt idx="3">
                  <c:v>Germany</c:v>
                </c:pt>
                <c:pt idx="4">
                  <c:v>India</c:v>
                </c:pt>
                <c:pt idx="5">
                  <c:v>Japan</c:v>
                </c:pt>
                <c:pt idx="6">
                  <c:v>Singapore</c:v>
                </c:pt>
                <c:pt idx="7">
                  <c:v>UAE</c:v>
                </c:pt>
                <c:pt idx="8">
                  <c:v>UK</c:v>
                </c:pt>
                <c:pt idx="9">
                  <c:v>USA</c:v>
                </c:pt>
              </c:strCache>
            </c:strRef>
          </c:cat>
          <c:val>
            <c:numRef>
              <c:f>'pivote table'!$B$3:$B$13</c:f>
              <c:numCache>
                <c:formatCode>General</c:formatCode>
                <c:ptCount val="10"/>
                <c:pt idx="0">
                  <c:v>184650</c:v>
                </c:pt>
                <c:pt idx="1">
                  <c:v>214149</c:v>
                </c:pt>
                <c:pt idx="2">
                  <c:v>74623</c:v>
                </c:pt>
                <c:pt idx="3">
                  <c:v>155533</c:v>
                </c:pt>
                <c:pt idx="4">
                  <c:v>120200</c:v>
                </c:pt>
                <c:pt idx="5">
                  <c:v>179486</c:v>
                </c:pt>
                <c:pt idx="6">
                  <c:v>233347</c:v>
                </c:pt>
                <c:pt idx="7">
                  <c:v>267590</c:v>
                </c:pt>
                <c:pt idx="8">
                  <c:v>138674</c:v>
                </c:pt>
                <c:pt idx="9">
                  <c:v>105475</c:v>
                </c:pt>
              </c:numCache>
            </c:numRef>
          </c:val>
          <c:extLst>
            <c:ext xmlns:c16="http://schemas.microsoft.com/office/drawing/2014/chart" uri="{C3380CC4-5D6E-409C-BE32-E72D297353CC}">
              <c16:uniqueId val="{00000000-DC50-4480-8692-96351E344758}"/>
            </c:ext>
          </c:extLst>
        </c:ser>
        <c:dLbls>
          <c:showLegendKey val="0"/>
          <c:showVal val="0"/>
          <c:showCatName val="0"/>
          <c:showSerName val="0"/>
          <c:showPercent val="0"/>
          <c:showBubbleSize val="0"/>
        </c:dLbls>
        <c:gapWidth val="115"/>
        <c:overlap val="-20"/>
        <c:axId val="677554176"/>
        <c:axId val="677546688"/>
      </c:barChart>
      <c:catAx>
        <c:axId val="6775541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7546688"/>
        <c:crosses val="autoZero"/>
        <c:auto val="1"/>
        <c:lblAlgn val="ctr"/>
        <c:lblOffset val="100"/>
        <c:noMultiLvlLbl val="0"/>
      </c:catAx>
      <c:valAx>
        <c:axId val="677546688"/>
        <c:scaling>
          <c:orientation val="minMax"/>
        </c:scaling>
        <c:delete val="1"/>
        <c:axPos val="b"/>
        <c:numFmt formatCode="General" sourceLinked="1"/>
        <c:majorTickMark val="none"/>
        <c:minorTickMark val="none"/>
        <c:tickLblPos val="nextTo"/>
        <c:crossAx val="677554176"/>
        <c:crosses val="autoZero"/>
        <c:crossBetween val="between"/>
      </c:valAx>
      <c:spPr>
        <a:noFill/>
        <a:ln>
          <a:noFill/>
        </a:ln>
        <a:effectLst/>
      </c:spPr>
    </c:plotArea>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[Hotel_Radisson_Management_Dashboard.xlsx]pivote table!PivotTable6</c:name>
    <c:fmtId val="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3">
              <a:lumMod val="75000"/>
            </a:schemeClr>
          </a:solidFill>
          <a:ln>
            <a:noFill/>
          </a:ln>
          <a:effectLst/>
        </c:spPr>
        <c:marker>
          <c:symbol val="none"/>
        </c:marker>
      </c:pivotFmt>
    </c:pivotFmts>
    <c:plotArea>
      <c:layout>
        <c:manualLayout>
          <c:layoutTarget val="inner"/>
          <c:xMode val="edge"/>
          <c:yMode val="edge"/>
          <c:x val="6.9396449887986947E-2"/>
          <c:y val="3.1718597315457606E-2"/>
          <c:w val="0.89974762267551034"/>
          <c:h val="0.70693662146351621"/>
        </c:manualLayout>
      </c:layout>
      <c:areaChart>
        <c:grouping val="standard"/>
        <c:varyColors val="0"/>
        <c:ser>
          <c:idx val="0"/>
          <c:order val="0"/>
          <c:tx>
            <c:strRef>
              <c:f>'pivote table'!$N$2</c:f>
              <c:strCache>
                <c:ptCount val="1"/>
                <c:pt idx="0">
                  <c:v>Total</c:v>
                </c:pt>
              </c:strCache>
            </c:strRef>
          </c:tx>
          <c:spPr>
            <a:solidFill>
              <a:schemeClr val="accent3">
                <a:lumMod val="75000"/>
              </a:schemeClr>
            </a:solidFill>
            <a:ln>
              <a:noFill/>
            </a:ln>
            <a:effectLst/>
          </c:spPr>
          <c:cat>
            <c:strRef>
              <c:f>'pivote table'!$M$3:$M$104</c:f>
              <c:strCache>
                <c:ptCount val="102"/>
                <c:pt idx="0">
                  <c:v>06-Jan</c:v>
                </c:pt>
                <c:pt idx="1">
                  <c:v>08-Jan</c:v>
                </c:pt>
                <c:pt idx="2">
                  <c:v>11-Jan</c:v>
                </c:pt>
                <c:pt idx="3">
                  <c:v>13-Jan</c:v>
                </c:pt>
                <c:pt idx="4">
                  <c:v>14-Jan</c:v>
                </c:pt>
                <c:pt idx="5">
                  <c:v>15-Jan</c:v>
                </c:pt>
                <c:pt idx="6">
                  <c:v>17-Jan</c:v>
                </c:pt>
                <c:pt idx="7">
                  <c:v>28-Jan</c:v>
                </c:pt>
                <c:pt idx="8">
                  <c:v>05-Feb</c:v>
                </c:pt>
                <c:pt idx="9">
                  <c:v>07-Feb</c:v>
                </c:pt>
                <c:pt idx="10">
                  <c:v>09-Feb</c:v>
                </c:pt>
                <c:pt idx="11">
                  <c:v>11-Feb</c:v>
                </c:pt>
                <c:pt idx="12">
                  <c:v>13-Feb</c:v>
                </c:pt>
                <c:pt idx="13">
                  <c:v>18-Feb</c:v>
                </c:pt>
                <c:pt idx="14">
                  <c:v>19-Feb</c:v>
                </c:pt>
                <c:pt idx="15">
                  <c:v>20-Feb</c:v>
                </c:pt>
                <c:pt idx="16">
                  <c:v>21-Feb</c:v>
                </c:pt>
                <c:pt idx="17">
                  <c:v>22-Feb</c:v>
                </c:pt>
                <c:pt idx="18">
                  <c:v>24-Feb</c:v>
                </c:pt>
                <c:pt idx="19">
                  <c:v>25-Feb</c:v>
                </c:pt>
                <c:pt idx="20">
                  <c:v>26-Feb</c:v>
                </c:pt>
                <c:pt idx="21">
                  <c:v>01-Mar</c:v>
                </c:pt>
                <c:pt idx="22">
                  <c:v>04-Mar</c:v>
                </c:pt>
                <c:pt idx="23">
                  <c:v>05-Mar</c:v>
                </c:pt>
                <c:pt idx="24">
                  <c:v>06-Mar</c:v>
                </c:pt>
                <c:pt idx="25">
                  <c:v>08-Mar</c:v>
                </c:pt>
                <c:pt idx="26">
                  <c:v>14-Mar</c:v>
                </c:pt>
                <c:pt idx="27">
                  <c:v>17-Mar</c:v>
                </c:pt>
                <c:pt idx="28">
                  <c:v>18-Mar</c:v>
                </c:pt>
                <c:pt idx="29">
                  <c:v>24-Mar</c:v>
                </c:pt>
                <c:pt idx="30">
                  <c:v>01-Apr</c:v>
                </c:pt>
                <c:pt idx="31">
                  <c:v>02-Apr</c:v>
                </c:pt>
                <c:pt idx="32">
                  <c:v>05-Apr</c:v>
                </c:pt>
                <c:pt idx="33">
                  <c:v>08-Apr</c:v>
                </c:pt>
                <c:pt idx="34">
                  <c:v>09-Apr</c:v>
                </c:pt>
                <c:pt idx="35">
                  <c:v>13-Apr</c:v>
                </c:pt>
                <c:pt idx="36">
                  <c:v>18-Apr</c:v>
                </c:pt>
                <c:pt idx="37">
                  <c:v>20-Apr</c:v>
                </c:pt>
                <c:pt idx="38">
                  <c:v>24-Apr</c:v>
                </c:pt>
                <c:pt idx="39">
                  <c:v>26-Apr</c:v>
                </c:pt>
                <c:pt idx="40">
                  <c:v>27-Apr</c:v>
                </c:pt>
                <c:pt idx="41">
                  <c:v>28-Apr</c:v>
                </c:pt>
                <c:pt idx="42">
                  <c:v>04-May</c:v>
                </c:pt>
                <c:pt idx="43">
                  <c:v>05-May</c:v>
                </c:pt>
                <c:pt idx="44">
                  <c:v>12-May</c:v>
                </c:pt>
                <c:pt idx="45">
                  <c:v>14-May</c:v>
                </c:pt>
                <c:pt idx="46">
                  <c:v>15-May</c:v>
                </c:pt>
                <c:pt idx="47">
                  <c:v>22-May</c:v>
                </c:pt>
                <c:pt idx="48">
                  <c:v>23-May</c:v>
                </c:pt>
                <c:pt idx="49">
                  <c:v>25-May</c:v>
                </c:pt>
                <c:pt idx="50">
                  <c:v>26-May</c:v>
                </c:pt>
                <c:pt idx="51">
                  <c:v>07-Jun</c:v>
                </c:pt>
                <c:pt idx="52">
                  <c:v>10-Jun</c:v>
                </c:pt>
                <c:pt idx="53">
                  <c:v>12-Jun</c:v>
                </c:pt>
                <c:pt idx="54">
                  <c:v>29-Jun</c:v>
                </c:pt>
                <c:pt idx="55">
                  <c:v>01-Jul</c:v>
                </c:pt>
                <c:pt idx="56">
                  <c:v>06-Jul</c:v>
                </c:pt>
                <c:pt idx="57">
                  <c:v>09-Jul</c:v>
                </c:pt>
                <c:pt idx="58">
                  <c:v>12-Jul</c:v>
                </c:pt>
                <c:pt idx="59">
                  <c:v>14-Jul</c:v>
                </c:pt>
                <c:pt idx="60">
                  <c:v>15-Jul</c:v>
                </c:pt>
                <c:pt idx="61">
                  <c:v>16-Jul</c:v>
                </c:pt>
                <c:pt idx="62">
                  <c:v>17-Jul</c:v>
                </c:pt>
                <c:pt idx="63">
                  <c:v>18-Jul</c:v>
                </c:pt>
                <c:pt idx="64">
                  <c:v>24-Jul</c:v>
                </c:pt>
                <c:pt idx="65">
                  <c:v>25-Jul</c:v>
                </c:pt>
                <c:pt idx="66">
                  <c:v>27-Jul</c:v>
                </c:pt>
                <c:pt idx="67">
                  <c:v>28-Jul</c:v>
                </c:pt>
                <c:pt idx="68">
                  <c:v>01-Aug</c:v>
                </c:pt>
                <c:pt idx="69">
                  <c:v>05-Aug</c:v>
                </c:pt>
                <c:pt idx="70">
                  <c:v>10-Aug</c:v>
                </c:pt>
                <c:pt idx="71">
                  <c:v>16-Aug</c:v>
                </c:pt>
                <c:pt idx="72">
                  <c:v>17-Aug</c:v>
                </c:pt>
                <c:pt idx="73">
                  <c:v>19-Aug</c:v>
                </c:pt>
                <c:pt idx="74">
                  <c:v>21-Aug</c:v>
                </c:pt>
                <c:pt idx="75">
                  <c:v>27-Aug</c:v>
                </c:pt>
                <c:pt idx="76">
                  <c:v>29-Aug</c:v>
                </c:pt>
                <c:pt idx="77">
                  <c:v>30-Aug</c:v>
                </c:pt>
                <c:pt idx="78">
                  <c:v>12-Sep</c:v>
                </c:pt>
                <c:pt idx="79">
                  <c:v>19-Sep</c:v>
                </c:pt>
                <c:pt idx="80">
                  <c:v>22-Sep</c:v>
                </c:pt>
                <c:pt idx="81">
                  <c:v>27-Sep</c:v>
                </c:pt>
                <c:pt idx="82">
                  <c:v>29-Sep</c:v>
                </c:pt>
                <c:pt idx="83">
                  <c:v>30-Sep</c:v>
                </c:pt>
                <c:pt idx="84">
                  <c:v>03-Oct</c:v>
                </c:pt>
                <c:pt idx="85">
                  <c:v>05-Oct</c:v>
                </c:pt>
                <c:pt idx="86">
                  <c:v>07-Oct</c:v>
                </c:pt>
                <c:pt idx="87">
                  <c:v>11-Oct</c:v>
                </c:pt>
                <c:pt idx="88">
                  <c:v>14-Oct</c:v>
                </c:pt>
                <c:pt idx="89">
                  <c:v>21-Oct</c:v>
                </c:pt>
                <c:pt idx="90">
                  <c:v>22-Oct</c:v>
                </c:pt>
                <c:pt idx="91">
                  <c:v>23-Oct</c:v>
                </c:pt>
                <c:pt idx="92">
                  <c:v>26-Oct</c:v>
                </c:pt>
                <c:pt idx="93">
                  <c:v>31-Oct</c:v>
                </c:pt>
                <c:pt idx="94">
                  <c:v>01-Nov</c:v>
                </c:pt>
                <c:pt idx="95">
                  <c:v>05-Nov</c:v>
                </c:pt>
                <c:pt idx="96">
                  <c:v>06-Nov</c:v>
                </c:pt>
                <c:pt idx="97">
                  <c:v>14-Nov</c:v>
                </c:pt>
                <c:pt idx="98">
                  <c:v>16-Nov</c:v>
                </c:pt>
                <c:pt idx="99">
                  <c:v>26-Nov</c:v>
                </c:pt>
                <c:pt idx="100">
                  <c:v>29-Nov</c:v>
                </c:pt>
                <c:pt idx="101">
                  <c:v>01-Dec</c:v>
                </c:pt>
              </c:strCache>
            </c:strRef>
          </c:cat>
          <c:val>
            <c:numRef>
              <c:f>'pivote table'!$N$3:$N$104</c:f>
              <c:numCache>
                <c:formatCode>General</c:formatCode>
                <c:ptCount val="102"/>
                <c:pt idx="0">
                  <c:v>137176</c:v>
                </c:pt>
                <c:pt idx="1">
                  <c:v>7618</c:v>
                </c:pt>
                <c:pt idx="2">
                  <c:v>64470</c:v>
                </c:pt>
                <c:pt idx="3">
                  <c:v>37824</c:v>
                </c:pt>
                <c:pt idx="4">
                  <c:v>8590</c:v>
                </c:pt>
                <c:pt idx="5">
                  <c:v>64484</c:v>
                </c:pt>
                <c:pt idx="6">
                  <c:v>9470</c:v>
                </c:pt>
                <c:pt idx="7">
                  <c:v>36265</c:v>
                </c:pt>
                <c:pt idx="8">
                  <c:v>18340</c:v>
                </c:pt>
                <c:pt idx="9">
                  <c:v>22605</c:v>
                </c:pt>
                <c:pt idx="10">
                  <c:v>7067</c:v>
                </c:pt>
                <c:pt idx="11">
                  <c:v>7122</c:v>
                </c:pt>
                <c:pt idx="12">
                  <c:v>49153</c:v>
                </c:pt>
                <c:pt idx="13">
                  <c:v>36090</c:v>
                </c:pt>
                <c:pt idx="14">
                  <c:v>14292</c:v>
                </c:pt>
                <c:pt idx="15">
                  <c:v>9467</c:v>
                </c:pt>
                <c:pt idx="16">
                  <c:v>64230</c:v>
                </c:pt>
                <c:pt idx="17">
                  <c:v>24824</c:v>
                </c:pt>
                <c:pt idx="18">
                  <c:v>17759</c:v>
                </c:pt>
                <c:pt idx="19">
                  <c:v>15039</c:v>
                </c:pt>
                <c:pt idx="20">
                  <c:v>48228</c:v>
                </c:pt>
                <c:pt idx="21">
                  <c:v>17688</c:v>
                </c:pt>
                <c:pt idx="22">
                  <c:v>60910</c:v>
                </c:pt>
                <c:pt idx="23">
                  <c:v>23484</c:v>
                </c:pt>
                <c:pt idx="24">
                  <c:v>60015</c:v>
                </c:pt>
                <c:pt idx="25">
                  <c:v>26900</c:v>
                </c:pt>
                <c:pt idx="26">
                  <c:v>27741</c:v>
                </c:pt>
                <c:pt idx="27">
                  <c:v>14132</c:v>
                </c:pt>
                <c:pt idx="28">
                  <c:v>21306</c:v>
                </c:pt>
                <c:pt idx="29">
                  <c:v>44035</c:v>
                </c:pt>
                <c:pt idx="30">
                  <c:v>30520</c:v>
                </c:pt>
                <c:pt idx="31">
                  <c:v>14170</c:v>
                </c:pt>
                <c:pt idx="32">
                  <c:v>45795</c:v>
                </c:pt>
                <c:pt idx="33">
                  <c:v>51897</c:v>
                </c:pt>
                <c:pt idx="34">
                  <c:v>36285</c:v>
                </c:pt>
                <c:pt idx="35">
                  <c:v>40623</c:v>
                </c:pt>
                <c:pt idx="36">
                  <c:v>8565</c:v>
                </c:pt>
                <c:pt idx="37">
                  <c:v>50560</c:v>
                </c:pt>
                <c:pt idx="38">
                  <c:v>36300</c:v>
                </c:pt>
                <c:pt idx="39">
                  <c:v>55128</c:v>
                </c:pt>
                <c:pt idx="40">
                  <c:v>7639</c:v>
                </c:pt>
                <c:pt idx="41">
                  <c:v>26400</c:v>
                </c:pt>
                <c:pt idx="42">
                  <c:v>18640</c:v>
                </c:pt>
                <c:pt idx="43">
                  <c:v>43585</c:v>
                </c:pt>
                <c:pt idx="44">
                  <c:v>45805</c:v>
                </c:pt>
                <c:pt idx="45">
                  <c:v>8922</c:v>
                </c:pt>
                <c:pt idx="46">
                  <c:v>29649</c:v>
                </c:pt>
                <c:pt idx="47">
                  <c:v>37664</c:v>
                </c:pt>
                <c:pt idx="48">
                  <c:v>98025</c:v>
                </c:pt>
                <c:pt idx="49">
                  <c:v>48845</c:v>
                </c:pt>
                <c:pt idx="50">
                  <c:v>49895</c:v>
                </c:pt>
                <c:pt idx="51">
                  <c:v>38037</c:v>
                </c:pt>
                <c:pt idx="52">
                  <c:v>46200</c:v>
                </c:pt>
                <c:pt idx="53">
                  <c:v>27640</c:v>
                </c:pt>
                <c:pt idx="54">
                  <c:v>60570</c:v>
                </c:pt>
                <c:pt idx="55">
                  <c:v>37930</c:v>
                </c:pt>
                <c:pt idx="56">
                  <c:v>34106</c:v>
                </c:pt>
                <c:pt idx="57">
                  <c:v>47350</c:v>
                </c:pt>
                <c:pt idx="58">
                  <c:v>17928</c:v>
                </c:pt>
                <c:pt idx="59">
                  <c:v>9754</c:v>
                </c:pt>
                <c:pt idx="60">
                  <c:v>20781</c:v>
                </c:pt>
                <c:pt idx="61">
                  <c:v>25228</c:v>
                </c:pt>
                <c:pt idx="62">
                  <c:v>54401</c:v>
                </c:pt>
                <c:pt idx="63">
                  <c:v>25255</c:v>
                </c:pt>
                <c:pt idx="64">
                  <c:v>24362</c:v>
                </c:pt>
                <c:pt idx="65">
                  <c:v>7387</c:v>
                </c:pt>
                <c:pt idx="66">
                  <c:v>35528</c:v>
                </c:pt>
                <c:pt idx="67">
                  <c:v>9122</c:v>
                </c:pt>
                <c:pt idx="68">
                  <c:v>11670</c:v>
                </c:pt>
                <c:pt idx="69">
                  <c:v>27280</c:v>
                </c:pt>
                <c:pt idx="70">
                  <c:v>24954</c:v>
                </c:pt>
                <c:pt idx="71">
                  <c:v>5553</c:v>
                </c:pt>
                <c:pt idx="72">
                  <c:v>37165</c:v>
                </c:pt>
                <c:pt idx="73">
                  <c:v>28815</c:v>
                </c:pt>
                <c:pt idx="74">
                  <c:v>38934</c:v>
                </c:pt>
                <c:pt idx="75">
                  <c:v>103314</c:v>
                </c:pt>
                <c:pt idx="76">
                  <c:v>5826</c:v>
                </c:pt>
                <c:pt idx="77">
                  <c:v>51865</c:v>
                </c:pt>
                <c:pt idx="78">
                  <c:v>18932</c:v>
                </c:pt>
                <c:pt idx="79">
                  <c:v>16143</c:v>
                </c:pt>
                <c:pt idx="80">
                  <c:v>50720</c:v>
                </c:pt>
                <c:pt idx="81">
                  <c:v>43663</c:v>
                </c:pt>
                <c:pt idx="82">
                  <c:v>42755</c:v>
                </c:pt>
                <c:pt idx="83">
                  <c:v>62520</c:v>
                </c:pt>
                <c:pt idx="84">
                  <c:v>12139</c:v>
                </c:pt>
                <c:pt idx="85">
                  <c:v>35628</c:v>
                </c:pt>
                <c:pt idx="86">
                  <c:v>14126</c:v>
                </c:pt>
                <c:pt idx="87">
                  <c:v>8776</c:v>
                </c:pt>
                <c:pt idx="88">
                  <c:v>62843</c:v>
                </c:pt>
                <c:pt idx="89">
                  <c:v>18372</c:v>
                </c:pt>
                <c:pt idx="90">
                  <c:v>49535</c:v>
                </c:pt>
                <c:pt idx="91">
                  <c:v>19648</c:v>
                </c:pt>
                <c:pt idx="92">
                  <c:v>24622</c:v>
                </c:pt>
                <c:pt idx="93">
                  <c:v>9087</c:v>
                </c:pt>
                <c:pt idx="94">
                  <c:v>16284</c:v>
                </c:pt>
                <c:pt idx="95">
                  <c:v>15510</c:v>
                </c:pt>
                <c:pt idx="96">
                  <c:v>37704</c:v>
                </c:pt>
                <c:pt idx="97">
                  <c:v>7675</c:v>
                </c:pt>
                <c:pt idx="98">
                  <c:v>49908</c:v>
                </c:pt>
                <c:pt idx="99">
                  <c:v>18214</c:v>
                </c:pt>
                <c:pt idx="100">
                  <c:v>51888</c:v>
                </c:pt>
                <c:pt idx="101">
                  <c:v>51332</c:v>
                </c:pt>
              </c:numCache>
            </c:numRef>
          </c:val>
          <c:extLst>
            <c:ext xmlns:c16="http://schemas.microsoft.com/office/drawing/2014/chart" uri="{C3380CC4-5D6E-409C-BE32-E72D297353CC}">
              <c16:uniqueId val="{00000000-B07D-4DE6-B0C9-28137B824B59}"/>
            </c:ext>
          </c:extLst>
        </c:ser>
        <c:dLbls>
          <c:showLegendKey val="0"/>
          <c:showVal val="0"/>
          <c:showCatName val="0"/>
          <c:showSerName val="0"/>
          <c:showPercent val="0"/>
          <c:showBubbleSize val="0"/>
        </c:dLbls>
        <c:axId val="1428104047"/>
        <c:axId val="1428106127"/>
      </c:areaChart>
      <c:catAx>
        <c:axId val="1428104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28106127"/>
        <c:crosses val="autoZero"/>
        <c:auto val="1"/>
        <c:lblAlgn val="ctr"/>
        <c:lblOffset val="100"/>
        <c:noMultiLvlLbl val="0"/>
      </c:catAx>
      <c:valAx>
        <c:axId val="1428106127"/>
        <c:scaling>
          <c:orientation val="minMax"/>
        </c:scaling>
        <c:delete val="0"/>
        <c:axPos val="l"/>
        <c:numFmt formatCode="General"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28104047"/>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chart" Target="../charts/chart2.xml"/><Relationship Id="rId7" Type="http://schemas.openxmlformats.org/officeDocument/2006/relationships/chart" Target="../charts/chart4.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90714</xdr:colOff>
      <xdr:row>4</xdr:row>
      <xdr:rowOff>176005</xdr:rowOff>
    </xdr:from>
    <xdr:to>
      <xdr:col>2</xdr:col>
      <xdr:colOff>56696</xdr:colOff>
      <xdr:row>29</xdr:row>
      <xdr:rowOff>93179</xdr:rowOff>
    </xdr:to>
    <xdr:sp macro="" textlink="">
      <xdr:nvSpPr>
        <xdr:cNvPr id="10" name="Rounded Rectangle 9"/>
        <xdr:cNvSpPr/>
      </xdr:nvSpPr>
      <xdr:spPr>
        <a:xfrm>
          <a:off x="90714" y="921440"/>
          <a:ext cx="1187667" cy="4576141"/>
        </a:xfrm>
        <a:prstGeom prst="round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121160</xdr:colOff>
      <xdr:row>0</xdr:row>
      <xdr:rowOff>85063</xdr:rowOff>
    </xdr:from>
    <xdr:to>
      <xdr:col>8</xdr:col>
      <xdr:colOff>569429</xdr:colOff>
      <xdr:row>4</xdr:row>
      <xdr:rowOff>88741</xdr:rowOff>
    </xdr:to>
    <xdr:sp macro="" textlink="">
      <xdr:nvSpPr>
        <xdr:cNvPr id="2" name="Rounded Rectangle 1"/>
        <xdr:cNvSpPr/>
      </xdr:nvSpPr>
      <xdr:spPr>
        <a:xfrm>
          <a:off x="121160" y="85063"/>
          <a:ext cx="5335008" cy="749113"/>
        </a:xfrm>
        <a:prstGeom prst="roundRect">
          <a:avLst>
            <a:gd name="adj" fmla="val 19594"/>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555625</xdr:colOff>
      <xdr:row>0</xdr:row>
      <xdr:rowOff>188478</xdr:rowOff>
    </xdr:from>
    <xdr:to>
      <xdr:col>8</xdr:col>
      <xdr:colOff>102054</xdr:colOff>
      <xdr:row>2</xdr:row>
      <xdr:rowOff>149863</xdr:rowOff>
    </xdr:to>
    <xdr:sp macro="" textlink="">
      <xdr:nvSpPr>
        <xdr:cNvPr id="3" name="TextBox 2"/>
        <xdr:cNvSpPr txBox="1"/>
      </xdr:nvSpPr>
      <xdr:spPr>
        <a:xfrm>
          <a:off x="1167946" y="188478"/>
          <a:ext cx="3832679" cy="346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1"/>
              </a:solidFill>
              <a:latin typeface="Arial Rounded MT Bold" panose="020F0704030504030204" pitchFamily="34" charset="0"/>
            </a:rPr>
            <a:t>Radisson</a:t>
          </a:r>
          <a:r>
            <a:rPr lang="en-IN" sz="2400" b="1" baseline="0">
              <a:solidFill>
                <a:schemeClr val="bg1"/>
              </a:solidFill>
              <a:latin typeface="Arial Rounded MT Bold" panose="020F0704030504030204" pitchFamily="34" charset="0"/>
            </a:rPr>
            <a:t> Hotel</a:t>
          </a:r>
          <a:endParaRPr lang="en-IN" sz="2400" b="1">
            <a:solidFill>
              <a:schemeClr val="bg1"/>
            </a:solidFill>
            <a:latin typeface="Arial Rounded MT Bold" panose="020F0704030504030204" pitchFamily="34" charset="0"/>
          </a:endParaRPr>
        </a:p>
      </xdr:txBody>
    </xdr:sp>
    <xdr:clientData/>
  </xdr:twoCellAnchor>
  <xdr:twoCellAnchor editAs="oneCell">
    <xdr:from>
      <xdr:col>0</xdr:col>
      <xdr:colOff>317499</xdr:colOff>
      <xdr:row>0</xdr:row>
      <xdr:rowOff>79375</xdr:rowOff>
    </xdr:from>
    <xdr:to>
      <xdr:col>2</xdr:col>
      <xdr:colOff>249461</xdr:colOff>
      <xdr:row>4</xdr:row>
      <xdr:rowOff>22680</xdr:rowOff>
    </xdr:to>
    <xdr:pic>
      <xdr:nvPicPr>
        <xdr:cNvPr id="6" name="Picture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7499" y="79375"/>
          <a:ext cx="1156605" cy="714376"/>
        </a:xfrm>
        <a:prstGeom prst="rect">
          <a:avLst/>
        </a:prstGeom>
      </xdr:spPr>
    </xdr:pic>
    <xdr:clientData/>
  </xdr:twoCellAnchor>
  <xdr:twoCellAnchor>
    <xdr:from>
      <xdr:col>3</xdr:col>
      <xdr:colOff>362857</xdr:colOff>
      <xdr:row>2</xdr:row>
      <xdr:rowOff>124733</xdr:rowOff>
    </xdr:from>
    <xdr:to>
      <xdr:col>6</xdr:col>
      <xdr:colOff>328839</xdr:colOff>
      <xdr:row>4</xdr:row>
      <xdr:rowOff>11341</xdr:rowOff>
    </xdr:to>
    <xdr:sp macro="" textlink="">
      <xdr:nvSpPr>
        <xdr:cNvPr id="7" name="TextBox 6"/>
        <xdr:cNvSpPr txBox="1"/>
      </xdr:nvSpPr>
      <xdr:spPr>
        <a:xfrm>
          <a:off x="2199821" y="510269"/>
          <a:ext cx="1802947"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accent3"/>
              </a:solidFill>
            </a:rPr>
            <a:t>Monthly Analysis</a:t>
          </a:r>
        </a:p>
      </xdr:txBody>
    </xdr:sp>
    <xdr:clientData/>
  </xdr:twoCellAnchor>
  <xdr:twoCellAnchor>
    <xdr:from>
      <xdr:col>9</xdr:col>
      <xdr:colOff>41413</xdr:colOff>
      <xdr:row>0</xdr:row>
      <xdr:rowOff>78447</xdr:rowOff>
    </xdr:from>
    <xdr:to>
      <xdr:col>13</xdr:col>
      <xdr:colOff>551740</xdr:colOff>
      <xdr:row>14</xdr:row>
      <xdr:rowOff>165652</xdr:rowOff>
    </xdr:to>
    <xdr:sp macro="" textlink="">
      <xdr:nvSpPr>
        <xdr:cNvPr id="13" name="Rounded Rectangle 12"/>
        <xdr:cNvSpPr/>
      </xdr:nvSpPr>
      <xdr:spPr>
        <a:xfrm>
          <a:off x="5538995" y="78447"/>
          <a:ext cx="2953696" cy="2696227"/>
        </a:xfrm>
        <a:prstGeom prst="roundRect">
          <a:avLst>
            <a:gd name="adj" fmla="val 7040"/>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135637</xdr:colOff>
      <xdr:row>15</xdr:row>
      <xdr:rowOff>47388</xdr:rowOff>
    </xdr:from>
    <xdr:to>
      <xdr:col>8</xdr:col>
      <xdr:colOff>531034</xdr:colOff>
      <xdr:row>29</xdr:row>
      <xdr:rowOff>104085</xdr:rowOff>
    </xdr:to>
    <xdr:sp macro="" textlink="">
      <xdr:nvSpPr>
        <xdr:cNvPr id="14" name="Rounded Rectangle 13"/>
        <xdr:cNvSpPr/>
      </xdr:nvSpPr>
      <xdr:spPr>
        <a:xfrm>
          <a:off x="1357322" y="2842768"/>
          <a:ext cx="4060451" cy="2665719"/>
        </a:xfrm>
        <a:prstGeom prst="roundRect">
          <a:avLst>
            <a:gd name="adj" fmla="val 7040"/>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49912</xdr:colOff>
      <xdr:row>0</xdr:row>
      <xdr:rowOff>96256</xdr:rowOff>
    </xdr:from>
    <xdr:to>
      <xdr:col>21</xdr:col>
      <xdr:colOff>600489</xdr:colOff>
      <xdr:row>14</xdr:row>
      <xdr:rowOff>155299</xdr:rowOff>
    </xdr:to>
    <xdr:sp macro="" textlink="">
      <xdr:nvSpPr>
        <xdr:cNvPr id="15" name="Rounded Rectangle 14"/>
        <xdr:cNvSpPr/>
      </xdr:nvSpPr>
      <xdr:spPr>
        <a:xfrm>
          <a:off x="8601705" y="96256"/>
          <a:ext cx="4826474" cy="2668065"/>
        </a:xfrm>
        <a:prstGeom prst="roundRect">
          <a:avLst>
            <a:gd name="adj" fmla="val 7040"/>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20704</xdr:colOff>
      <xdr:row>15</xdr:row>
      <xdr:rowOff>82827</xdr:rowOff>
    </xdr:from>
    <xdr:to>
      <xdr:col>21</xdr:col>
      <xdr:colOff>590135</xdr:colOff>
      <xdr:row>29</xdr:row>
      <xdr:rowOff>113887</xdr:rowOff>
    </xdr:to>
    <xdr:sp macro="" textlink="">
      <xdr:nvSpPr>
        <xdr:cNvPr id="16" name="Rounded Rectangle 15"/>
        <xdr:cNvSpPr/>
      </xdr:nvSpPr>
      <xdr:spPr>
        <a:xfrm>
          <a:off x="5518286" y="2878207"/>
          <a:ext cx="7899539" cy="2640082"/>
        </a:xfrm>
        <a:prstGeom prst="roundRect">
          <a:avLst>
            <a:gd name="adj" fmla="val 7040"/>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41413</xdr:colOff>
      <xdr:row>0</xdr:row>
      <xdr:rowOff>78447</xdr:rowOff>
    </xdr:from>
    <xdr:to>
      <xdr:col>14</xdr:col>
      <xdr:colOff>72473</xdr:colOff>
      <xdr:row>15</xdr:row>
      <xdr:rowOff>26267</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144946</xdr:colOff>
      <xdr:row>1</xdr:row>
      <xdr:rowOff>41412</xdr:rowOff>
    </xdr:from>
    <xdr:to>
      <xdr:col>21</xdr:col>
      <xdr:colOff>476251</xdr:colOff>
      <xdr:row>13</xdr:row>
      <xdr:rowOff>41413</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197757</xdr:colOff>
      <xdr:row>15</xdr:row>
      <xdr:rowOff>72473</xdr:rowOff>
    </xdr:from>
    <xdr:to>
      <xdr:col>8</xdr:col>
      <xdr:colOff>476250</xdr:colOff>
      <xdr:row>28</xdr:row>
      <xdr:rowOff>31060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155299</xdr:colOff>
      <xdr:row>5</xdr:row>
      <xdr:rowOff>20708</xdr:rowOff>
    </xdr:from>
    <xdr:to>
      <xdr:col>8</xdr:col>
      <xdr:colOff>538370</xdr:colOff>
      <xdr:row>14</xdr:row>
      <xdr:rowOff>124239</xdr:rowOff>
    </xdr:to>
    <xdr:sp macro="" textlink="">
      <xdr:nvSpPr>
        <xdr:cNvPr id="22" name="Rounded Rectangle 21"/>
        <xdr:cNvSpPr/>
      </xdr:nvSpPr>
      <xdr:spPr>
        <a:xfrm>
          <a:off x="1376984" y="952501"/>
          <a:ext cx="4048125" cy="1780760"/>
        </a:xfrm>
        <a:prstGeom prst="roundRect">
          <a:avLst>
            <a:gd name="adj" fmla="val 7040"/>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196711</xdr:colOff>
      <xdr:row>5</xdr:row>
      <xdr:rowOff>82828</xdr:rowOff>
    </xdr:from>
    <xdr:to>
      <xdr:col>1</xdr:col>
      <xdr:colOff>579782</xdr:colOff>
      <xdr:row>28</xdr:row>
      <xdr:rowOff>165654</xdr:rowOff>
    </xdr:to>
    <mc:AlternateContent xmlns:mc="http://schemas.openxmlformats.org/markup-compatibility/2006" xmlns:a14="http://schemas.microsoft.com/office/drawing/2010/main">
      <mc:Choice Requires="a14">
        <xdr:graphicFrame macro="">
          <xdr:nvGraphicFramePr>
            <xdr:cNvPr id="5"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6711" y="1014621"/>
              <a:ext cx="993913" cy="4369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93180</xdr:colOff>
      <xdr:row>0</xdr:row>
      <xdr:rowOff>155299</xdr:rowOff>
    </xdr:from>
    <xdr:to>
      <xdr:col>10</xdr:col>
      <xdr:colOff>41413</xdr:colOff>
      <xdr:row>3</xdr:row>
      <xdr:rowOff>155298</xdr:rowOff>
    </xdr:to>
    <xdr:pic>
      <xdr:nvPicPr>
        <xdr:cNvPr id="9" name="Picture 8"/>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90762" y="155299"/>
          <a:ext cx="559075" cy="559075"/>
        </a:xfrm>
        <a:prstGeom prst="rect">
          <a:avLst/>
        </a:prstGeom>
      </xdr:spPr>
    </xdr:pic>
    <xdr:clientData/>
  </xdr:twoCellAnchor>
  <xdr:twoCellAnchor editAs="oneCell">
    <xdr:from>
      <xdr:col>2</xdr:col>
      <xdr:colOff>434837</xdr:colOff>
      <xdr:row>5</xdr:row>
      <xdr:rowOff>20707</xdr:rowOff>
    </xdr:from>
    <xdr:to>
      <xdr:col>8</xdr:col>
      <xdr:colOff>238125</xdr:colOff>
      <xdr:row>14</xdr:row>
      <xdr:rowOff>99601</xdr:rowOff>
    </xdr:to>
    <xdr:pic>
      <xdr:nvPicPr>
        <xdr:cNvPr id="28" name="Picture 27"/>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56522" y="952500"/>
          <a:ext cx="3468342" cy="1756123"/>
        </a:xfrm>
        <a:prstGeom prst="rect">
          <a:avLst/>
        </a:prstGeom>
      </xdr:spPr>
    </xdr:pic>
    <xdr:clientData/>
  </xdr:twoCellAnchor>
  <xdr:twoCellAnchor>
    <xdr:from>
      <xdr:col>9</xdr:col>
      <xdr:colOff>125246</xdr:colOff>
      <xdr:row>16</xdr:row>
      <xdr:rowOff>152522</xdr:rowOff>
    </xdr:from>
    <xdr:to>
      <xdr:col>21</xdr:col>
      <xdr:colOff>601499</xdr:colOff>
      <xdr:row>28</xdr:row>
      <xdr:rowOff>121462</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300243</xdr:colOff>
      <xdr:row>28</xdr:row>
      <xdr:rowOff>1</xdr:rowOff>
    </xdr:from>
    <xdr:to>
      <xdr:col>6</xdr:col>
      <xdr:colOff>434836</xdr:colOff>
      <xdr:row>29</xdr:row>
      <xdr:rowOff>103534</xdr:rowOff>
    </xdr:to>
    <xdr:sp macro="" textlink="">
      <xdr:nvSpPr>
        <xdr:cNvPr id="37" name="TextBox 36"/>
        <xdr:cNvSpPr txBox="1"/>
      </xdr:nvSpPr>
      <xdr:spPr>
        <a:xfrm>
          <a:off x="2743613" y="5218044"/>
          <a:ext cx="1356277" cy="289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3">
                  <a:lumMod val="75000"/>
                </a:schemeClr>
              </a:solidFill>
            </a:rPr>
            <a:t>Profit By Country</a:t>
          </a:r>
        </a:p>
      </xdr:txBody>
    </xdr:sp>
    <xdr:clientData/>
  </xdr:twoCellAnchor>
  <xdr:twoCellAnchor>
    <xdr:from>
      <xdr:col>13</xdr:col>
      <xdr:colOff>476249</xdr:colOff>
      <xdr:row>27</xdr:row>
      <xdr:rowOff>155298</xdr:rowOff>
    </xdr:from>
    <xdr:to>
      <xdr:col>16</xdr:col>
      <xdr:colOff>134591</xdr:colOff>
      <xdr:row>29</xdr:row>
      <xdr:rowOff>103532</xdr:rowOff>
    </xdr:to>
    <xdr:sp macro="" textlink="">
      <xdr:nvSpPr>
        <xdr:cNvPr id="39" name="TextBox 38"/>
        <xdr:cNvSpPr txBox="1"/>
      </xdr:nvSpPr>
      <xdr:spPr>
        <a:xfrm>
          <a:off x="8417200" y="5186983"/>
          <a:ext cx="1490869" cy="320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3">
                  <a:lumMod val="75000"/>
                </a:schemeClr>
              </a:solidFill>
            </a:rPr>
            <a:t>Total</a:t>
          </a:r>
          <a:r>
            <a:rPr lang="en-IN" sz="1100" baseline="0">
              <a:solidFill>
                <a:schemeClr val="accent3">
                  <a:lumMod val="75000"/>
                </a:schemeClr>
              </a:solidFill>
            </a:rPr>
            <a:t> </a:t>
          </a:r>
          <a:r>
            <a:rPr lang="en-IN" sz="1100">
              <a:solidFill>
                <a:schemeClr val="accent3">
                  <a:lumMod val="75000"/>
                </a:schemeClr>
              </a:solidFill>
            </a:rPr>
            <a:t>Revenue Per</a:t>
          </a:r>
          <a:r>
            <a:rPr lang="en-IN" sz="1100" baseline="0">
              <a:solidFill>
                <a:schemeClr val="accent3">
                  <a:lumMod val="75000"/>
                </a:schemeClr>
              </a:solidFill>
            </a:rPr>
            <a:t> Day</a:t>
          </a:r>
          <a:endParaRPr lang="en-IN" sz="1100">
            <a:solidFill>
              <a:schemeClr val="accent3">
                <a:lumMod val="75000"/>
              </a:schemeClr>
            </a:solidFill>
          </a:endParaRPr>
        </a:p>
      </xdr:txBody>
    </xdr:sp>
    <xdr:clientData/>
  </xdr:twoCellAnchor>
  <xdr:twoCellAnchor>
    <xdr:from>
      <xdr:col>10</xdr:col>
      <xdr:colOff>269184</xdr:colOff>
      <xdr:row>13</xdr:row>
      <xdr:rowOff>51766</xdr:rowOff>
    </xdr:from>
    <xdr:to>
      <xdr:col>12</xdr:col>
      <xdr:colOff>455543</xdr:colOff>
      <xdr:row>14</xdr:row>
      <xdr:rowOff>113885</xdr:rowOff>
    </xdr:to>
    <xdr:sp macro="" textlink="">
      <xdr:nvSpPr>
        <xdr:cNvPr id="40" name="TextBox 39"/>
        <xdr:cNvSpPr txBox="1"/>
      </xdr:nvSpPr>
      <xdr:spPr>
        <a:xfrm>
          <a:off x="6377608" y="2474429"/>
          <a:ext cx="1408044" cy="248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3">
                  <a:lumMod val="75000"/>
                </a:schemeClr>
              </a:solidFill>
            </a:rPr>
            <a:t>Profit by Room Type</a:t>
          </a:r>
        </a:p>
      </xdr:txBody>
    </xdr:sp>
    <xdr:clientData/>
  </xdr:twoCellAnchor>
  <xdr:twoCellAnchor>
    <xdr:from>
      <xdr:col>16</xdr:col>
      <xdr:colOff>403776</xdr:colOff>
      <xdr:row>13</xdr:row>
      <xdr:rowOff>72471</xdr:rowOff>
    </xdr:from>
    <xdr:to>
      <xdr:col>19</xdr:col>
      <xdr:colOff>352010</xdr:colOff>
      <xdr:row>14</xdr:row>
      <xdr:rowOff>144945</xdr:rowOff>
    </xdr:to>
    <xdr:sp macro="" textlink="">
      <xdr:nvSpPr>
        <xdr:cNvPr id="41" name="TextBox 40"/>
        <xdr:cNvSpPr txBox="1"/>
      </xdr:nvSpPr>
      <xdr:spPr>
        <a:xfrm>
          <a:off x="10177254" y="2495134"/>
          <a:ext cx="1780761" cy="258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3">
                  <a:lumMod val="75000"/>
                </a:schemeClr>
              </a:solidFill>
            </a:rPr>
            <a:t>Profit by Booking Source</a:t>
          </a:r>
        </a:p>
      </xdr:txBody>
    </xdr:sp>
    <xdr:clientData/>
  </xdr:twoCellAnchor>
  <xdr:twoCellAnchor editAs="oneCell">
    <xdr:from>
      <xdr:col>22</xdr:col>
      <xdr:colOff>98962</xdr:colOff>
      <xdr:row>0</xdr:row>
      <xdr:rowOff>86591</xdr:rowOff>
    </xdr:from>
    <xdr:to>
      <xdr:col>26</xdr:col>
      <xdr:colOff>327562</xdr:colOff>
      <xdr:row>3</xdr:row>
      <xdr:rowOff>96116</xdr:rowOff>
    </xdr:to>
    <xdr:pic>
      <xdr:nvPicPr>
        <xdr:cNvPr id="23" name="Picture 22"/>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433962" y="86591"/>
          <a:ext cx="2653145" cy="5661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0.27416</cdr:x>
      <cdr:y>0.24677</cdr:y>
    </cdr:to>
    <cdr:pic>
      <cdr:nvPicPr>
        <cdr:cNvPr id="2" name="Picture 1"/>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0" y="0"/>
          <a:ext cx="1263098" cy="551842"/>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5971.818446527781" createdVersion="6" refreshedVersion="6" minRefreshableVersion="3" recordCount="120">
  <cacheSource type="worksheet">
    <worksheetSource name="Sheet1"/>
  </cacheSource>
  <cacheFields count="14">
    <cacheField name="Booking_ID" numFmtId="0">
      <sharedItems count="120">
        <s v="R001"/>
        <s v="R002"/>
        <s v="R003"/>
        <s v="R004"/>
        <s v="R005"/>
        <s v="R006"/>
        <s v="R007"/>
        <s v="R008"/>
        <s v="R009"/>
        <s v="R010"/>
        <s v="R011"/>
        <s v="R012"/>
        <s v="R013"/>
        <s v="R014"/>
        <s v="R015"/>
        <s v="R016"/>
        <s v="R017"/>
        <s v="R018"/>
        <s v="R019"/>
        <s v="R020"/>
        <s v="R021"/>
        <s v="R022"/>
        <s v="R023"/>
        <s v="R024"/>
        <s v="R025"/>
        <s v="R026"/>
        <s v="R027"/>
        <s v="R028"/>
        <s v="R029"/>
        <s v="R030"/>
        <s v="R031"/>
        <s v="R032"/>
        <s v="R033"/>
        <s v="R034"/>
        <s v="R035"/>
        <s v="R036"/>
        <s v="R037"/>
        <s v="R038"/>
        <s v="R039"/>
        <s v="R040"/>
        <s v="R041"/>
        <s v="R042"/>
        <s v="R043"/>
        <s v="R044"/>
        <s v="R045"/>
        <s v="R046"/>
        <s v="R047"/>
        <s v="R048"/>
        <s v="R049"/>
        <s v="R050"/>
        <s v="R051"/>
        <s v="R052"/>
        <s v="R053"/>
        <s v="R054"/>
        <s v="R055"/>
        <s v="R056"/>
        <s v="R057"/>
        <s v="R058"/>
        <s v="R059"/>
        <s v="R060"/>
        <s v="R061"/>
        <s v="R062"/>
        <s v="R063"/>
        <s v="R064"/>
        <s v="R065"/>
        <s v="R066"/>
        <s v="R067"/>
        <s v="R068"/>
        <s v="R069"/>
        <s v="R070"/>
        <s v="R071"/>
        <s v="R072"/>
        <s v="R073"/>
        <s v="R074"/>
        <s v="R075"/>
        <s v="R076"/>
        <s v="R077"/>
        <s v="R078"/>
        <s v="R079"/>
        <s v="R080"/>
        <s v="R081"/>
        <s v="R082"/>
        <s v="R083"/>
        <s v="R084"/>
        <s v="R085"/>
        <s v="R086"/>
        <s v="R087"/>
        <s v="R088"/>
        <s v="R089"/>
        <s v="R090"/>
        <s v="R091"/>
        <s v="R092"/>
        <s v="R093"/>
        <s v="R094"/>
        <s v="R095"/>
        <s v="R096"/>
        <s v="R097"/>
        <s v="R098"/>
        <s v="R099"/>
        <s v="R100"/>
        <s v="R101"/>
        <s v="R102"/>
        <s v="R103"/>
        <s v="R104"/>
        <s v="R105"/>
        <s v="R106"/>
        <s v="R107"/>
        <s v="R108"/>
        <s v="R109"/>
        <s v="R110"/>
        <s v="R111"/>
        <s v="R112"/>
        <s v="R113"/>
        <s v="R114"/>
        <s v="R115"/>
        <s v="R116"/>
        <s v="R117"/>
        <s v="R118"/>
        <s v="R119"/>
        <s v="R120"/>
      </sharedItems>
    </cacheField>
    <cacheField name="Date" numFmtId="14">
      <sharedItems containsSemiMixedTypes="0" containsNonDate="0" containsDate="1" containsString="0" minDate="2025-01-06T00:00:00" maxDate="2025-12-02T00:00:00" count="102">
        <d v="2025-09-12T00:00:00"/>
        <d v="2025-06-07T00:00:00"/>
        <d v="2025-08-27T00:00:00"/>
        <d v="2025-10-05T00:00:00"/>
        <d v="2025-10-21T00:00:00"/>
        <d v="2025-03-05T00:00:00"/>
        <d v="2025-07-06T00:00:00"/>
        <d v="2025-09-27T00:00:00"/>
        <d v="2025-02-05T00:00:00"/>
        <d v="2025-02-22T00:00:00"/>
        <d v="2025-10-03T00:00:00"/>
        <d v="2025-05-23T00:00:00"/>
        <d v="2025-02-24T00:00:00"/>
        <d v="2025-05-25T00:00:00"/>
        <d v="2025-08-21T00:00:00"/>
        <d v="2025-10-23T00:00:00"/>
        <d v="2025-10-11T00:00:00"/>
        <d v="2025-06-29T00:00:00"/>
        <d v="2025-04-27T00:00:00"/>
        <d v="2025-02-09T00:00:00"/>
        <d v="2025-03-01T00:00:00"/>
        <d v="2025-01-06T00:00:00"/>
        <d v="2025-07-28T00:00:00"/>
        <d v="2025-02-21T00:00:00"/>
        <d v="2025-01-11T00:00:00"/>
        <d v="2025-08-05T00:00:00"/>
        <d v="2025-01-13T00:00:00"/>
        <d v="2025-07-14T00:00:00"/>
        <d v="2025-04-28T00:00:00"/>
        <d v="2025-07-25T00:00:00"/>
        <d v="2025-08-10T00:00:00"/>
        <d v="2025-02-18T00:00:00"/>
        <d v="2025-04-24T00:00:00"/>
        <d v="2025-11-01T00:00:00"/>
        <d v="2025-03-06T00:00:00"/>
        <d v="2025-07-01T00:00:00"/>
        <d v="2025-07-24T00:00:00"/>
        <d v="2025-04-13T00:00:00"/>
        <d v="2025-02-25T00:00:00"/>
        <d v="2025-02-11T00:00:00"/>
        <d v="2025-01-17T00:00:00"/>
        <d v="2025-11-16T00:00:00"/>
        <d v="2025-09-30T00:00:00"/>
        <d v="2025-10-07T00:00:00"/>
        <d v="2025-05-15T00:00:00"/>
        <d v="2025-11-06T00:00:00"/>
        <d v="2025-10-31T00:00:00"/>
        <d v="2025-02-19T00:00:00"/>
        <d v="2025-04-09T00:00:00"/>
        <d v="2025-03-14T00:00:00"/>
        <d v="2025-08-17T00:00:00"/>
        <d v="2025-04-20T00:00:00"/>
        <d v="2025-11-14T00:00:00"/>
        <d v="2025-07-16T00:00:00"/>
        <d v="2025-02-20T00:00:00"/>
        <d v="2025-03-18T00:00:00"/>
        <d v="2025-04-08T00:00:00"/>
        <d v="2025-05-05T00:00:00"/>
        <d v="2025-04-01T00:00:00"/>
        <d v="2025-01-15T00:00:00"/>
        <d v="2025-03-24T00:00:00"/>
        <d v="2025-03-04T00:00:00"/>
        <d v="2025-05-14T00:00:00"/>
        <d v="2025-04-26T00:00:00"/>
        <d v="2025-08-30T00:00:00"/>
        <d v="2025-05-04T00:00:00"/>
        <d v="2025-09-22T00:00:00"/>
        <d v="2025-05-26T00:00:00"/>
        <d v="2025-09-19T00:00:00"/>
        <d v="2025-01-28T00:00:00"/>
        <d v="2025-11-26T00:00:00"/>
        <d v="2025-02-07T00:00:00"/>
        <d v="2025-07-12T00:00:00"/>
        <d v="2025-09-29T00:00:00"/>
        <d v="2025-12-01T00:00:00"/>
        <d v="2025-06-12T00:00:00"/>
        <d v="2025-10-14T00:00:00"/>
        <d v="2025-07-17T00:00:00"/>
        <d v="2025-11-05T00:00:00"/>
        <d v="2025-01-08T00:00:00"/>
        <d v="2025-10-22T00:00:00"/>
        <d v="2025-03-17T00:00:00"/>
        <d v="2025-05-22T00:00:00"/>
        <d v="2025-04-18T00:00:00"/>
        <d v="2025-08-29T00:00:00"/>
        <d v="2025-02-13T00:00:00"/>
        <d v="2025-07-15T00:00:00"/>
        <d v="2025-05-12T00:00:00"/>
        <d v="2025-01-14T00:00:00"/>
        <d v="2025-10-26T00:00:00"/>
        <d v="2025-04-05T00:00:00"/>
        <d v="2025-03-08T00:00:00"/>
        <d v="2025-08-01T00:00:00"/>
        <d v="2025-11-29T00:00:00"/>
        <d v="2025-07-18T00:00:00"/>
        <d v="2025-04-02T00:00:00"/>
        <d v="2025-08-16T00:00:00"/>
        <d v="2025-08-19T00:00:00"/>
        <d v="2025-02-26T00:00:00"/>
        <d v="2025-06-10T00:00:00"/>
        <d v="2025-07-27T00:00:00"/>
        <d v="2025-07-09T00:00:00"/>
      </sharedItems>
      <fieldGroup par="13" base="1">
        <rangePr groupBy="days" startDate="2025-01-06T00:00:00" endDate="2025-12-02T00:00:00"/>
        <groupItems count="368">
          <s v="&lt;06-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025"/>
        </groupItems>
      </fieldGroup>
    </cacheField>
    <cacheField name="Month" numFmtId="0">
      <sharedItems count="12">
        <s v="September"/>
        <s v="June"/>
        <s v="August"/>
        <s v="October"/>
        <s v="March"/>
        <s v="July"/>
        <s v="February"/>
        <s v="May"/>
        <s v="April"/>
        <s v="January"/>
        <s v="November"/>
        <s v="December"/>
      </sharedItems>
    </cacheField>
    <cacheField name="Room_Type" numFmtId="0">
      <sharedItems count="5">
        <s v="Executive"/>
        <s v="Suite"/>
        <s v="Family"/>
        <s v="Standard"/>
        <s v="Deluxe"/>
      </sharedItems>
    </cacheField>
    <cacheField name="Room_Rate" numFmtId="0">
      <sharedItems containsSemiMixedTypes="0" containsString="0" containsNumber="1" containsInteger="1" minValue="5013" maxValue="12978"/>
    </cacheField>
    <cacheField name="Nights_Stayed" numFmtId="0">
      <sharedItems containsSemiMixedTypes="0" containsString="0" containsNumber="1" containsInteger="1" minValue="1" maxValue="5" count="5">
        <n v="2"/>
        <n v="3"/>
        <n v="4"/>
        <n v="1"/>
        <n v="5"/>
      </sharedItems>
    </cacheField>
    <cacheField name="Total_Revenue" numFmtId="0">
      <sharedItems containsSemiMixedTypes="0" containsString="0" containsNumber="1" containsInteger="1" minValue="5113" maxValue="64570" count="120">
        <n v="18932"/>
        <n v="38037"/>
        <n v="38744"/>
        <n v="35628"/>
        <n v="18372"/>
        <n v="23484"/>
        <n v="11246"/>
        <n v="36051"/>
        <n v="18340"/>
        <n v="24824"/>
        <n v="12139"/>
        <n v="36680"/>
        <n v="7914"/>
        <n v="22860"/>
        <n v="48845"/>
        <n v="38934"/>
        <n v="19648"/>
        <n v="8776"/>
        <n v="25890"/>
        <n v="7639"/>
        <n v="7067"/>
        <n v="17688"/>
        <n v="51736"/>
        <n v="9122"/>
        <n v="34680"/>
        <n v="64230"/>
        <n v="64470"/>
        <n v="27280"/>
        <n v="37824"/>
        <n v="9754"/>
        <n v="9231"/>
        <n v="64570"/>
        <n v="7387"/>
        <n v="24954"/>
        <n v="36090"/>
        <n v="36300"/>
        <n v="16284"/>
        <n v="7612"/>
        <n v="60015"/>
        <n v="37930"/>
        <n v="24362"/>
        <n v="35608"/>
        <n v="22473"/>
        <n v="15039"/>
        <n v="7122"/>
        <n v="9470"/>
        <n v="49908"/>
        <n v="62520"/>
        <n v="14126"/>
        <n v="17169"/>
        <n v="29649"/>
        <n v="37704"/>
        <n v="9087"/>
        <n v="14292"/>
        <n v="36285"/>
        <n v="27741"/>
        <n v="37165"/>
        <n v="50560"/>
        <n v="7675"/>
        <n v="18150"/>
        <n v="25228"/>
        <n v="9467"/>
        <n v="21306"/>
        <n v="44560"/>
        <n v="43585"/>
        <n v="30520"/>
        <n v="19404"/>
        <n v="44035"/>
        <n v="60910"/>
        <n v="8922"/>
        <n v="31500"/>
        <n v="17133"/>
        <n v="18640"/>
        <n v="49832"/>
        <n v="50720"/>
        <n v="49895"/>
        <n v="16143"/>
        <n v="23628"/>
        <n v="34732"/>
        <n v="36265"/>
        <n v="18214"/>
        <n v="22605"/>
        <n v="17928"/>
        <n v="42755"/>
        <n v="51332"/>
        <n v="27640"/>
        <n v="35960"/>
        <n v="18098"/>
        <n v="15510"/>
        <n v="7618"/>
        <n v="49535"/>
        <n v="14132"/>
        <n v="36303"/>
        <n v="37664"/>
        <n v="8565"/>
        <n v="5826"/>
        <n v="26883"/>
        <n v="45080"/>
        <n v="44040"/>
        <n v="61345"/>
        <n v="11910"/>
        <n v="45805"/>
        <n v="8590"/>
        <n v="24622"/>
        <n v="5113"/>
        <n v="45795"/>
        <n v="26900"/>
        <n v="11670"/>
        <n v="7337"/>
        <n v="51888"/>
        <n v="25255"/>
        <n v="14170"/>
        <n v="8871"/>
        <n v="5553"/>
        <n v="9845"/>
        <n v="28815"/>
        <n v="48228"/>
        <n v="46200"/>
        <n v="35528"/>
        <n v="47350"/>
      </sharedItems>
    </cacheField>
    <cacheField name="Occupancy_Status" numFmtId="0">
      <sharedItems count="3">
        <s v="Cancelled"/>
        <s v="Occupied"/>
        <s v="Vacant"/>
      </sharedItems>
    </cacheField>
    <cacheField name="Booking_Source" numFmtId="0">
      <sharedItems count="4">
        <s v="Walk-in"/>
        <s v="Travel Agent"/>
        <s v="Corporate"/>
        <s v="Online"/>
      </sharedItems>
    </cacheField>
    <cacheField name="Guest_Rating" numFmtId="0">
      <sharedItems containsSemiMixedTypes="0" containsString="0" containsNumber="1" minValue="0" maxValue="9.8000000000000007" count="33">
        <n v="0"/>
        <n v="8.6999999999999993"/>
        <n v="9.4"/>
        <n v="6.6"/>
        <n v="8.6"/>
        <n v="7.5"/>
        <n v="7.9"/>
        <n v="8.1999999999999993"/>
        <n v="7.4"/>
        <n v="8"/>
        <n v="7.7"/>
        <n v="8.8000000000000007"/>
        <n v="9"/>
        <n v="9.3000000000000007"/>
        <n v="9.1"/>
        <n v="8.5"/>
        <n v="9.6"/>
        <n v="9.1999999999999993"/>
        <n v="8.3000000000000007"/>
        <n v="9.5"/>
        <n v="8.1"/>
        <n v="7.3"/>
        <n v="7.8"/>
        <n v="6.9"/>
        <n v="9.8000000000000007"/>
        <n v="7.6"/>
        <n v="7"/>
        <n v="7.1"/>
        <n v="6.7"/>
        <n v="7.2"/>
        <n v="9.6999999999999993"/>
        <n v="6.5"/>
        <n v="8.4"/>
      </sharedItems>
    </cacheField>
    <cacheField name="Country" numFmtId="0">
      <sharedItems count="10">
        <s v="India"/>
        <s v="Australia"/>
        <s v="UAE"/>
        <s v="USA"/>
        <s v="Singapore"/>
        <s v="Canada"/>
        <s v="UK"/>
        <s v="Germany"/>
        <s v="Japan"/>
        <s v="France"/>
      </sharedItems>
    </cacheField>
    <cacheField name="Expenses" numFmtId="0">
      <sharedItems containsSemiMixedTypes="0" containsString="0" containsNumber="1" containsInteger="1" minValue="1009" maxValue="10909"/>
    </cacheField>
    <cacheField name="Profit" numFmtId="0">
      <sharedItems containsSemiMixedTypes="0" containsString="0" containsNumber="1" containsInteger="1" minValue="-5193" maxValue="57126"/>
    </cacheField>
    <cacheField name="Months" numFmtId="0" databaseField="0">
      <fieldGroup base="1">
        <rangePr groupBy="months" startDate="2025-01-06T00:00:00" endDate="2025-12-02T00:00:00"/>
        <groupItems count="14">
          <s v="&lt;06-01-2025"/>
          <s v="Jan"/>
          <s v="Feb"/>
          <s v="Mar"/>
          <s v="Apr"/>
          <s v="May"/>
          <s v="Jun"/>
          <s v="Jul"/>
          <s v="Aug"/>
          <s v="Sep"/>
          <s v="Oct"/>
          <s v="Nov"/>
          <s v="Dec"/>
          <s v="&gt;02-12-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0">
  <r>
    <x v="0"/>
    <x v="0"/>
    <x v="0"/>
    <x v="0"/>
    <n v="9466"/>
    <x v="0"/>
    <x v="0"/>
    <x v="0"/>
    <x v="0"/>
    <x v="0"/>
    <x v="0"/>
    <n v="2951"/>
    <n v="0"/>
  </r>
  <r>
    <x v="1"/>
    <x v="1"/>
    <x v="1"/>
    <x v="1"/>
    <n v="12679"/>
    <x v="1"/>
    <x v="1"/>
    <x v="1"/>
    <x v="0"/>
    <x v="1"/>
    <x v="0"/>
    <n v="10008"/>
    <n v="28029"/>
  </r>
  <r>
    <x v="2"/>
    <x v="2"/>
    <x v="2"/>
    <x v="0"/>
    <n v="9686"/>
    <x v="2"/>
    <x v="2"/>
    <x v="1"/>
    <x v="1"/>
    <x v="2"/>
    <x v="1"/>
    <n v="8286"/>
    <n v="30458"/>
  </r>
  <r>
    <x v="3"/>
    <x v="3"/>
    <x v="3"/>
    <x v="2"/>
    <n v="8907"/>
    <x v="2"/>
    <x v="3"/>
    <x v="1"/>
    <x v="1"/>
    <x v="3"/>
    <x v="2"/>
    <n v="7261"/>
    <n v="28367"/>
  </r>
  <r>
    <x v="4"/>
    <x v="4"/>
    <x v="3"/>
    <x v="0"/>
    <n v="9186"/>
    <x v="0"/>
    <x v="4"/>
    <x v="1"/>
    <x v="0"/>
    <x v="1"/>
    <x v="3"/>
    <n v="9185"/>
    <n v="9187"/>
  </r>
  <r>
    <x v="5"/>
    <x v="5"/>
    <x v="4"/>
    <x v="3"/>
    <n v="5871"/>
    <x v="2"/>
    <x v="5"/>
    <x v="1"/>
    <x v="2"/>
    <x v="4"/>
    <x v="2"/>
    <n v="9318"/>
    <n v="14166"/>
  </r>
  <r>
    <x v="6"/>
    <x v="6"/>
    <x v="5"/>
    <x v="3"/>
    <n v="5623"/>
    <x v="0"/>
    <x v="6"/>
    <x v="2"/>
    <x v="0"/>
    <x v="0"/>
    <x v="4"/>
    <n v="1175"/>
    <n v="0"/>
  </r>
  <r>
    <x v="7"/>
    <x v="7"/>
    <x v="0"/>
    <x v="1"/>
    <n v="12017"/>
    <x v="1"/>
    <x v="7"/>
    <x v="1"/>
    <x v="1"/>
    <x v="5"/>
    <x v="4"/>
    <n v="9262"/>
    <n v="26789"/>
  </r>
  <r>
    <x v="8"/>
    <x v="8"/>
    <x v="6"/>
    <x v="2"/>
    <n v="9170"/>
    <x v="0"/>
    <x v="8"/>
    <x v="1"/>
    <x v="0"/>
    <x v="6"/>
    <x v="2"/>
    <n v="10235"/>
    <n v="8105"/>
  </r>
  <r>
    <x v="9"/>
    <x v="9"/>
    <x v="6"/>
    <x v="1"/>
    <n v="12412"/>
    <x v="0"/>
    <x v="9"/>
    <x v="1"/>
    <x v="1"/>
    <x v="7"/>
    <x v="5"/>
    <n v="8676"/>
    <n v="16148"/>
  </r>
  <r>
    <x v="10"/>
    <x v="10"/>
    <x v="3"/>
    <x v="1"/>
    <n v="12139"/>
    <x v="3"/>
    <x v="10"/>
    <x v="1"/>
    <x v="0"/>
    <x v="8"/>
    <x v="0"/>
    <n v="10321"/>
    <n v="1818"/>
  </r>
  <r>
    <x v="11"/>
    <x v="11"/>
    <x v="7"/>
    <x v="0"/>
    <n v="9170"/>
    <x v="2"/>
    <x v="11"/>
    <x v="1"/>
    <x v="2"/>
    <x v="9"/>
    <x v="4"/>
    <n v="7697"/>
    <n v="28983"/>
  </r>
  <r>
    <x v="12"/>
    <x v="12"/>
    <x v="6"/>
    <x v="4"/>
    <n v="7914"/>
    <x v="3"/>
    <x v="12"/>
    <x v="2"/>
    <x v="0"/>
    <x v="0"/>
    <x v="6"/>
    <n v="2279"/>
    <n v="0"/>
  </r>
  <r>
    <x v="13"/>
    <x v="6"/>
    <x v="5"/>
    <x v="4"/>
    <n v="7620"/>
    <x v="1"/>
    <x v="13"/>
    <x v="0"/>
    <x v="3"/>
    <x v="0"/>
    <x v="1"/>
    <n v="1009"/>
    <n v="0"/>
  </r>
  <r>
    <x v="14"/>
    <x v="13"/>
    <x v="7"/>
    <x v="0"/>
    <n v="9769"/>
    <x v="4"/>
    <x v="14"/>
    <x v="1"/>
    <x v="2"/>
    <x v="10"/>
    <x v="7"/>
    <n v="10374"/>
    <n v="38471"/>
  </r>
  <r>
    <x v="15"/>
    <x v="14"/>
    <x v="2"/>
    <x v="1"/>
    <n v="12978"/>
    <x v="1"/>
    <x v="15"/>
    <x v="2"/>
    <x v="1"/>
    <x v="0"/>
    <x v="5"/>
    <n v="1992"/>
    <n v="0"/>
  </r>
  <r>
    <x v="16"/>
    <x v="15"/>
    <x v="3"/>
    <x v="0"/>
    <n v="9824"/>
    <x v="0"/>
    <x v="16"/>
    <x v="2"/>
    <x v="3"/>
    <x v="0"/>
    <x v="4"/>
    <n v="1830"/>
    <n v="0"/>
  </r>
  <r>
    <x v="17"/>
    <x v="16"/>
    <x v="3"/>
    <x v="2"/>
    <n v="8776"/>
    <x v="3"/>
    <x v="17"/>
    <x v="2"/>
    <x v="2"/>
    <x v="0"/>
    <x v="5"/>
    <n v="2872"/>
    <n v="0"/>
  </r>
  <r>
    <x v="18"/>
    <x v="17"/>
    <x v="1"/>
    <x v="3"/>
    <n v="5178"/>
    <x v="4"/>
    <x v="18"/>
    <x v="1"/>
    <x v="3"/>
    <x v="10"/>
    <x v="5"/>
    <n v="8485"/>
    <n v="17405"/>
  </r>
  <r>
    <x v="19"/>
    <x v="18"/>
    <x v="8"/>
    <x v="4"/>
    <n v="7639"/>
    <x v="3"/>
    <x v="19"/>
    <x v="2"/>
    <x v="0"/>
    <x v="0"/>
    <x v="5"/>
    <n v="1336"/>
    <n v="0"/>
  </r>
  <r>
    <x v="20"/>
    <x v="19"/>
    <x v="6"/>
    <x v="4"/>
    <n v="7067"/>
    <x v="3"/>
    <x v="20"/>
    <x v="1"/>
    <x v="3"/>
    <x v="11"/>
    <x v="3"/>
    <n v="10025"/>
    <n v="-2958"/>
  </r>
  <r>
    <x v="21"/>
    <x v="20"/>
    <x v="4"/>
    <x v="3"/>
    <n v="5896"/>
    <x v="1"/>
    <x v="21"/>
    <x v="1"/>
    <x v="0"/>
    <x v="12"/>
    <x v="3"/>
    <n v="7453"/>
    <n v="10235"/>
  </r>
  <r>
    <x v="22"/>
    <x v="21"/>
    <x v="9"/>
    <x v="1"/>
    <n v="12934"/>
    <x v="2"/>
    <x v="22"/>
    <x v="1"/>
    <x v="3"/>
    <x v="10"/>
    <x v="5"/>
    <n v="10900"/>
    <n v="40836"/>
  </r>
  <r>
    <x v="23"/>
    <x v="22"/>
    <x v="5"/>
    <x v="0"/>
    <n v="9122"/>
    <x v="3"/>
    <x v="23"/>
    <x v="0"/>
    <x v="0"/>
    <x v="0"/>
    <x v="0"/>
    <n v="1304"/>
    <n v="0"/>
  </r>
  <r>
    <x v="24"/>
    <x v="17"/>
    <x v="1"/>
    <x v="2"/>
    <n v="8670"/>
    <x v="2"/>
    <x v="24"/>
    <x v="1"/>
    <x v="1"/>
    <x v="13"/>
    <x v="1"/>
    <n v="9195"/>
    <n v="25485"/>
  </r>
  <r>
    <x v="25"/>
    <x v="23"/>
    <x v="6"/>
    <x v="1"/>
    <n v="12846"/>
    <x v="4"/>
    <x v="25"/>
    <x v="2"/>
    <x v="1"/>
    <x v="0"/>
    <x v="1"/>
    <n v="1956"/>
    <n v="0"/>
  </r>
  <r>
    <x v="26"/>
    <x v="24"/>
    <x v="9"/>
    <x v="1"/>
    <n v="12894"/>
    <x v="4"/>
    <x v="26"/>
    <x v="1"/>
    <x v="1"/>
    <x v="14"/>
    <x v="6"/>
    <n v="7344"/>
    <n v="57126"/>
  </r>
  <r>
    <x v="27"/>
    <x v="25"/>
    <x v="2"/>
    <x v="3"/>
    <n v="5456"/>
    <x v="4"/>
    <x v="27"/>
    <x v="1"/>
    <x v="1"/>
    <x v="15"/>
    <x v="1"/>
    <n v="9728"/>
    <n v="17552"/>
  </r>
  <r>
    <x v="28"/>
    <x v="26"/>
    <x v="9"/>
    <x v="2"/>
    <n v="9456"/>
    <x v="2"/>
    <x v="28"/>
    <x v="2"/>
    <x v="2"/>
    <x v="0"/>
    <x v="7"/>
    <n v="1876"/>
    <n v="0"/>
  </r>
  <r>
    <x v="29"/>
    <x v="27"/>
    <x v="5"/>
    <x v="0"/>
    <n v="9754"/>
    <x v="3"/>
    <x v="29"/>
    <x v="1"/>
    <x v="0"/>
    <x v="14"/>
    <x v="8"/>
    <n v="10032"/>
    <n v="-278"/>
  </r>
  <r>
    <x v="30"/>
    <x v="28"/>
    <x v="8"/>
    <x v="0"/>
    <n v="9231"/>
    <x v="3"/>
    <x v="30"/>
    <x v="0"/>
    <x v="1"/>
    <x v="0"/>
    <x v="1"/>
    <n v="2050"/>
    <n v="0"/>
  </r>
  <r>
    <x v="31"/>
    <x v="2"/>
    <x v="2"/>
    <x v="1"/>
    <n v="12914"/>
    <x v="4"/>
    <x v="31"/>
    <x v="1"/>
    <x v="1"/>
    <x v="16"/>
    <x v="2"/>
    <n v="10438"/>
    <n v="54132"/>
  </r>
  <r>
    <x v="32"/>
    <x v="29"/>
    <x v="5"/>
    <x v="4"/>
    <n v="7387"/>
    <x v="3"/>
    <x v="32"/>
    <x v="2"/>
    <x v="1"/>
    <x v="0"/>
    <x v="7"/>
    <n v="1266"/>
    <n v="0"/>
  </r>
  <r>
    <x v="33"/>
    <x v="30"/>
    <x v="2"/>
    <x v="1"/>
    <n v="12477"/>
    <x v="0"/>
    <x v="33"/>
    <x v="1"/>
    <x v="0"/>
    <x v="17"/>
    <x v="9"/>
    <n v="10634"/>
    <n v="14320"/>
  </r>
  <r>
    <x v="34"/>
    <x v="31"/>
    <x v="6"/>
    <x v="4"/>
    <n v="7218"/>
    <x v="4"/>
    <x v="34"/>
    <x v="1"/>
    <x v="1"/>
    <x v="6"/>
    <x v="7"/>
    <n v="10074"/>
    <n v="26016"/>
  </r>
  <r>
    <x v="35"/>
    <x v="32"/>
    <x v="8"/>
    <x v="1"/>
    <n v="12100"/>
    <x v="1"/>
    <x v="35"/>
    <x v="1"/>
    <x v="2"/>
    <x v="18"/>
    <x v="7"/>
    <n v="8289"/>
    <n v="28011"/>
  </r>
  <r>
    <x v="36"/>
    <x v="33"/>
    <x v="10"/>
    <x v="3"/>
    <n v="5428"/>
    <x v="1"/>
    <x v="36"/>
    <x v="1"/>
    <x v="0"/>
    <x v="19"/>
    <x v="9"/>
    <n v="9464"/>
    <n v="6820"/>
  </r>
  <r>
    <x v="37"/>
    <x v="7"/>
    <x v="0"/>
    <x v="4"/>
    <n v="7612"/>
    <x v="3"/>
    <x v="37"/>
    <x v="1"/>
    <x v="3"/>
    <x v="20"/>
    <x v="9"/>
    <n v="7880"/>
    <n v="-268"/>
  </r>
  <r>
    <x v="38"/>
    <x v="34"/>
    <x v="4"/>
    <x v="1"/>
    <n v="12003"/>
    <x v="4"/>
    <x v="38"/>
    <x v="1"/>
    <x v="1"/>
    <x v="21"/>
    <x v="4"/>
    <n v="7008"/>
    <n v="53007"/>
  </r>
  <r>
    <x v="39"/>
    <x v="35"/>
    <x v="5"/>
    <x v="4"/>
    <n v="7586"/>
    <x v="4"/>
    <x v="39"/>
    <x v="2"/>
    <x v="3"/>
    <x v="0"/>
    <x v="4"/>
    <n v="1517"/>
    <n v="0"/>
  </r>
  <r>
    <x v="40"/>
    <x v="36"/>
    <x v="5"/>
    <x v="1"/>
    <n v="12181"/>
    <x v="0"/>
    <x v="40"/>
    <x v="1"/>
    <x v="0"/>
    <x v="11"/>
    <x v="5"/>
    <n v="8968"/>
    <n v="15394"/>
  </r>
  <r>
    <x v="41"/>
    <x v="21"/>
    <x v="9"/>
    <x v="2"/>
    <n v="8902"/>
    <x v="2"/>
    <x v="41"/>
    <x v="2"/>
    <x v="3"/>
    <x v="0"/>
    <x v="3"/>
    <n v="2505"/>
    <n v="0"/>
  </r>
  <r>
    <x v="42"/>
    <x v="37"/>
    <x v="8"/>
    <x v="4"/>
    <n v="7491"/>
    <x v="1"/>
    <x v="42"/>
    <x v="2"/>
    <x v="1"/>
    <x v="0"/>
    <x v="9"/>
    <n v="2784"/>
    <n v="0"/>
  </r>
  <r>
    <x v="43"/>
    <x v="38"/>
    <x v="6"/>
    <x v="3"/>
    <n v="5013"/>
    <x v="1"/>
    <x v="43"/>
    <x v="1"/>
    <x v="1"/>
    <x v="18"/>
    <x v="2"/>
    <n v="7743"/>
    <n v="7296"/>
  </r>
  <r>
    <x v="44"/>
    <x v="39"/>
    <x v="6"/>
    <x v="4"/>
    <n v="7122"/>
    <x v="3"/>
    <x v="44"/>
    <x v="1"/>
    <x v="1"/>
    <x v="22"/>
    <x v="0"/>
    <n v="9456"/>
    <n v="-2334"/>
  </r>
  <r>
    <x v="45"/>
    <x v="40"/>
    <x v="9"/>
    <x v="0"/>
    <n v="9470"/>
    <x v="3"/>
    <x v="45"/>
    <x v="1"/>
    <x v="2"/>
    <x v="7"/>
    <x v="2"/>
    <n v="10823"/>
    <n v="-1353"/>
  </r>
  <r>
    <x v="46"/>
    <x v="41"/>
    <x v="10"/>
    <x v="1"/>
    <n v="12477"/>
    <x v="2"/>
    <x v="46"/>
    <x v="1"/>
    <x v="2"/>
    <x v="2"/>
    <x v="8"/>
    <n v="10773"/>
    <n v="39135"/>
  </r>
  <r>
    <x v="47"/>
    <x v="42"/>
    <x v="0"/>
    <x v="1"/>
    <n v="12504"/>
    <x v="4"/>
    <x v="47"/>
    <x v="1"/>
    <x v="3"/>
    <x v="23"/>
    <x v="2"/>
    <n v="8127"/>
    <n v="54393"/>
  </r>
  <r>
    <x v="48"/>
    <x v="43"/>
    <x v="3"/>
    <x v="4"/>
    <n v="7063"/>
    <x v="0"/>
    <x v="48"/>
    <x v="1"/>
    <x v="0"/>
    <x v="24"/>
    <x v="2"/>
    <n v="9985"/>
    <n v="4141"/>
  </r>
  <r>
    <x v="49"/>
    <x v="28"/>
    <x v="8"/>
    <x v="3"/>
    <n v="5723"/>
    <x v="1"/>
    <x v="49"/>
    <x v="1"/>
    <x v="2"/>
    <x v="4"/>
    <x v="5"/>
    <n v="8677"/>
    <n v="8492"/>
  </r>
  <r>
    <x v="50"/>
    <x v="44"/>
    <x v="7"/>
    <x v="0"/>
    <n v="9883"/>
    <x v="1"/>
    <x v="50"/>
    <x v="1"/>
    <x v="1"/>
    <x v="19"/>
    <x v="7"/>
    <n v="10201"/>
    <n v="19448"/>
  </r>
  <r>
    <x v="51"/>
    <x v="45"/>
    <x v="10"/>
    <x v="1"/>
    <n v="12568"/>
    <x v="1"/>
    <x v="51"/>
    <x v="1"/>
    <x v="3"/>
    <x v="22"/>
    <x v="0"/>
    <n v="9643"/>
    <n v="28061"/>
  </r>
  <r>
    <x v="52"/>
    <x v="46"/>
    <x v="3"/>
    <x v="2"/>
    <n v="9087"/>
    <x v="3"/>
    <x v="52"/>
    <x v="1"/>
    <x v="3"/>
    <x v="14"/>
    <x v="2"/>
    <n v="9396"/>
    <n v="-309"/>
  </r>
  <r>
    <x v="53"/>
    <x v="47"/>
    <x v="6"/>
    <x v="4"/>
    <n v="7146"/>
    <x v="0"/>
    <x v="53"/>
    <x v="1"/>
    <x v="3"/>
    <x v="21"/>
    <x v="7"/>
    <n v="10109"/>
    <n v="4183"/>
  </r>
  <r>
    <x v="54"/>
    <x v="48"/>
    <x v="8"/>
    <x v="1"/>
    <n v="12095"/>
    <x v="1"/>
    <x v="54"/>
    <x v="1"/>
    <x v="1"/>
    <x v="15"/>
    <x v="8"/>
    <n v="7685"/>
    <n v="28600"/>
  </r>
  <r>
    <x v="55"/>
    <x v="49"/>
    <x v="4"/>
    <x v="0"/>
    <n v="9247"/>
    <x v="1"/>
    <x v="55"/>
    <x v="1"/>
    <x v="1"/>
    <x v="16"/>
    <x v="2"/>
    <n v="10406"/>
    <n v="17335"/>
  </r>
  <r>
    <x v="56"/>
    <x v="50"/>
    <x v="2"/>
    <x v="4"/>
    <n v="7433"/>
    <x v="4"/>
    <x v="56"/>
    <x v="0"/>
    <x v="2"/>
    <x v="0"/>
    <x v="2"/>
    <n v="1159"/>
    <n v="0"/>
  </r>
  <r>
    <x v="57"/>
    <x v="51"/>
    <x v="8"/>
    <x v="1"/>
    <n v="12640"/>
    <x v="2"/>
    <x v="57"/>
    <x v="1"/>
    <x v="0"/>
    <x v="25"/>
    <x v="5"/>
    <n v="10909"/>
    <n v="39651"/>
  </r>
  <r>
    <x v="58"/>
    <x v="52"/>
    <x v="10"/>
    <x v="4"/>
    <n v="7675"/>
    <x v="3"/>
    <x v="58"/>
    <x v="1"/>
    <x v="2"/>
    <x v="26"/>
    <x v="3"/>
    <n v="8804"/>
    <n v="-1129"/>
  </r>
  <r>
    <x v="59"/>
    <x v="37"/>
    <x v="8"/>
    <x v="2"/>
    <n v="9075"/>
    <x v="0"/>
    <x v="59"/>
    <x v="1"/>
    <x v="0"/>
    <x v="27"/>
    <x v="1"/>
    <n v="9948"/>
    <n v="8202"/>
  </r>
  <r>
    <x v="60"/>
    <x v="53"/>
    <x v="5"/>
    <x v="1"/>
    <n v="12614"/>
    <x v="0"/>
    <x v="60"/>
    <x v="1"/>
    <x v="0"/>
    <x v="18"/>
    <x v="7"/>
    <n v="7873"/>
    <n v="17355"/>
  </r>
  <r>
    <x v="61"/>
    <x v="54"/>
    <x v="6"/>
    <x v="2"/>
    <n v="9467"/>
    <x v="3"/>
    <x v="61"/>
    <x v="1"/>
    <x v="2"/>
    <x v="2"/>
    <x v="9"/>
    <n v="7387"/>
    <n v="2080"/>
  </r>
  <r>
    <x v="62"/>
    <x v="55"/>
    <x v="4"/>
    <x v="4"/>
    <n v="7102"/>
    <x v="1"/>
    <x v="62"/>
    <x v="2"/>
    <x v="0"/>
    <x v="0"/>
    <x v="2"/>
    <n v="2585"/>
    <n v="0"/>
  </r>
  <r>
    <x v="63"/>
    <x v="56"/>
    <x v="8"/>
    <x v="2"/>
    <n v="8912"/>
    <x v="4"/>
    <x v="63"/>
    <x v="1"/>
    <x v="0"/>
    <x v="23"/>
    <x v="8"/>
    <n v="9264"/>
    <n v="35296"/>
  </r>
  <r>
    <x v="64"/>
    <x v="57"/>
    <x v="7"/>
    <x v="2"/>
    <n v="8717"/>
    <x v="4"/>
    <x v="64"/>
    <x v="0"/>
    <x v="3"/>
    <x v="0"/>
    <x v="2"/>
    <n v="1701"/>
    <n v="0"/>
  </r>
  <r>
    <x v="65"/>
    <x v="58"/>
    <x v="8"/>
    <x v="4"/>
    <n v="7630"/>
    <x v="2"/>
    <x v="65"/>
    <x v="1"/>
    <x v="1"/>
    <x v="21"/>
    <x v="3"/>
    <n v="8932"/>
    <n v="21588"/>
  </r>
  <r>
    <x v="66"/>
    <x v="59"/>
    <x v="9"/>
    <x v="0"/>
    <n v="9702"/>
    <x v="0"/>
    <x v="66"/>
    <x v="1"/>
    <x v="3"/>
    <x v="23"/>
    <x v="1"/>
    <n v="7135"/>
    <n v="12269"/>
  </r>
  <r>
    <x v="67"/>
    <x v="60"/>
    <x v="4"/>
    <x v="2"/>
    <n v="8807"/>
    <x v="4"/>
    <x v="67"/>
    <x v="1"/>
    <x v="0"/>
    <x v="28"/>
    <x v="3"/>
    <n v="10818"/>
    <n v="33217"/>
  </r>
  <r>
    <x v="68"/>
    <x v="61"/>
    <x v="4"/>
    <x v="1"/>
    <n v="12182"/>
    <x v="4"/>
    <x v="68"/>
    <x v="1"/>
    <x v="0"/>
    <x v="29"/>
    <x v="0"/>
    <n v="8179"/>
    <n v="52731"/>
  </r>
  <r>
    <x v="69"/>
    <x v="62"/>
    <x v="7"/>
    <x v="2"/>
    <n v="8922"/>
    <x v="3"/>
    <x v="69"/>
    <x v="1"/>
    <x v="1"/>
    <x v="24"/>
    <x v="4"/>
    <n v="10203"/>
    <n v="-1281"/>
  </r>
  <r>
    <x v="70"/>
    <x v="63"/>
    <x v="8"/>
    <x v="4"/>
    <n v="7875"/>
    <x v="2"/>
    <x v="70"/>
    <x v="1"/>
    <x v="3"/>
    <x v="8"/>
    <x v="5"/>
    <n v="9574"/>
    <n v="21926"/>
  </r>
  <r>
    <x v="71"/>
    <x v="64"/>
    <x v="2"/>
    <x v="3"/>
    <n v="5711"/>
    <x v="1"/>
    <x v="71"/>
    <x v="1"/>
    <x v="0"/>
    <x v="30"/>
    <x v="0"/>
    <n v="7548"/>
    <n v="9585"/>
  </r>
  <r>
    <x v="72"/>
    <x v="65"/>
    <x v="7"/>
    <x v="2"/>
    <n v="9320"/>
    <x v="0"/>
    <x v="72"/>
    <x v="1"/>
    <x v="0"/>
    <x v="26"/>
    <x v="1"/>
    <n v="10370"/>
    <n v="8270"/>
  </r>
  <r>
    <x v="73"/>
    <x v="21"/>
    <x v="9"/>
    <x v="1"/>
    <n v="12458"/>
    <x v="2"/>
    <x v="73"/>
    <x v="1"/>
    <x v="3"/>
    <x v="4"/>
    <x v="4"/>
    <n v="9303"/>
    <n v="40529"/>
  </r>
  <r>
    <x v="74"/>
    <x v="66"/>
    <x v="0"/>
    <x v="1"/>
    <n v="12680"/>
    <x v="2"/>
    <x v="74"/>
    <x v="1"/>
    <x v="1"/>
    <x v="14"/>
    <x v="2"/>
    <n v="10544"/>
    <n v="40176"/>
  </r>
  <r>
    <x v="75"/>
    <x v="67"/>
    <x v="7"/>
    <x v="0"/>
    <n v="9979"/>
    <x v="4"/>
    <x v="75"/>
    <x v="1"/>
    <x v="0"/>
    <x v="8"/>
    <x v="1"/>
    <n v="10054"/>
    <n v="39841"/>
  </r>
  <r>
    <x v="76"/>
    <x v="68"/>
    <x v="0"/>
    <x v="3"/>
    <n v="5381"/>
    <x v="1"/>
    <x v="76"/>
    <x v="1"/>
    <x v="3"/>
    <x v="3"/>
    <x v="7"/>
    <n v="10878"/>
    <n v="5265"/>
  </r>
  <r>
    <x v="77"/>
    <x v="63"/>
    <x v="8"/>
    <x v="3"/>
    <n v="5907"/>
    <x v="2"/>
    <x v="77"/>
    <x v="0"/>
    <x v="1"/>
    <x v="0"/>
    <x v="3"/>
    <n v="1241"/>
    <n v="0"/>
  </r>
  <r>
    <x v="78"/>
    <x v="64"/>
    <x v="2"/>
    <x v="2"/>
    <n v="8683"/>
    <x v="2"/>
    <x v="78"/>
    <x v="1"/>
    <x v="3"/>
    <x v="28"/>
    <x v="1"/>
    <n v="10754"/>
    <n v="23978"/>
  </r>
  <r>
    <x v="79"/>
    <x v="69"/>
    <x v="9"/>
    <x v="4"/>
    <n v="7253"/>
    <x v="4"/>
    <x v="79"/>
    <x v="1"/>
    <x v="2"/>
    <x v="16"/>
    <x v="6"/>
    <n v="10604"/>
    <n v="25661"/>
  </r>
  <r>
    <x v="80"/>
    <x v="70"/>
    <x v="10"/>
    <x v="2"/>
    <n v="9107"/>
    <x v="0"/>
    <x v="80"/>
    <x v="1"/>
    <x v="0"/>
    <x v="31"/>
    <x v="4"/>
    <n v="7835"/>
    <n v="10379"/>
  </r>
  <r>
    <x v="81"/>
    <x v="71"/>
    <x v="6"/>
    <x v="4"/>
    <n v="7535"/>
    <x v="1"/>
    <x v="81"/>
    <x v="1"/>
    <x v="0"/>
    <x v="15"/>
    <x v="5"/>
    <n v="7283"/>
    <n v="15322"/>
  </r>
  <r>
    <x v="82"/>
    <x v="72"/>
    <x v="5"/>
    <x v="3"/>
    <n v="5976"/>
    <x v="1"/>
    <x v="82"/>
    <x v="1"/>
    <x v="2"/>
    <x v="5"/>
    <x v="6"/>
    <n v="7624"/>
    <n v="10304"/>
  </r>
  <r>
    <x v="83"/>
    <x v="73"/>
    <x v="0"/>
    <x v="2"/>
    <n v="8551"/>
    <x v="4"/>
    <x v="83"/>
    <x v="1"/>
    <x v="0"/>
    <x v="29"/>
    <x v="6"/>
    <n v="7561"/>
    <n v="35194"/>
  </r>
  <r>
    <x v="84"/>
    <x v="74"/>
    <x v="11"/>
    <x v="1"/>
    <n v="12833"/>
    <x v="2"/>
    <x v="84"/>
    <x v="1"/>
    <x v="3"/>
    <x v="7"/>
    <x v="2"/>
    <n v="10191"/>
    <n v="41141"/>
  </r>
  <r>
    <x v="85"/>
    <x v="75"/>
    <x v="1"/>
    <x v="3"/>
    <n v="5528"/>
    <x v="4"/>
    <x v="85"/>
    <x v="1"/>
    <x v="3"/>
    <x v="2"/>
    <x v="8"/>
    <n v="7499"/>
    <n v="20141"/>
  </r>
  <r>
    <x v="86"/>
    <x v="76"/>
    <x v="3"/>
    <x v="4"/>
    <n v="7192"/>
    <x v="4"/>
    <x v="86"/>
    <x v="1"/>
    <x v="3"/>
    <x v="1"/>
    <x v="9"/>
    <n v="10487"/>
    <n v="25473"/>
  </r>
  <r>
    <x v="87"/>
    <x v="77"/>
    <x v="5"/>
    <x v="0"/>
    <n v="9049"/>
    <x v="0"/>
    <x v="87"/>
    <x v="1"/>
    <x v="1"/>
    <x v="21"/>
    <x v="0"/>
    <n v="10761"/>
    <n v="7337"/>
  </r>
  <r>
    <x v="88"/>
    <x v="78"/>
    <x v="10"/>
    <x v="3"/>
    <n v="5170"/>
    <x v="1"/>
    <x v="88"/>
    <x v="1"/>
    <x v="2"/>
    <x v="17"/>
    <x v="6"/>
    <n v="10229"/>
    <n v="5281"/>
  </r>
  <r>
    <x v="89"/>
    <x v="79"/>
    <x v="9"/>
    <x v="4"/>
    <n v="7618"/>
    <x v="3"/>
    <x v="89"/>
    <x v="1"/>
    <x v="0"/>
    <x v="12"/>
    <x v="8"/>
    <n v="8389"/>
    <n v="-771"/>
  </r>
  <r>
    <x v="90"/>
    <x v="80"/>
    <x v="3"/>
    <x v="0"/>
    <n v="9907"/>
    <x v="4"/>
    <x v="90"/>
    <x v="2"/>
    <x v="2"/>
    <x v="0"/>
    <x v="9"/>
    <n v="1636"/>
    <n v="0"/>
  </r>
  <r>
    <x v="91"/>
    <x v="81"/>
    <x v="4"/>
    <x v="4"/>
    <n v="7066"/>
    <x v="0"/>
    <x v="91"/>
    <x v="1"/>
    <x v="2"/>
    <x v="27"/>
    <x v="3"/>
    <n v="10459"/>
    <n v="3673"/>
  </r>
  <r>
    <x v="92"/>
    <x v="77"/>
    <x v="5"/>
    <x v="1"/>
    <n v="12101"/>
    <x v="1"/>
    <x v="92"/>
    <x v="1"/>
    <x v="3"/>
    <x v="16"/>
    <x v="9"/>
    <n v="7556"/>
    <n v="28747"/>
  </r>
  <r>
    <x v="93"/>
    <x v="82"/>
    <x v="7"/>
    <x v="0"/>
    <n v="9416"/>
    <x v="2"/>
    <x v="93"/>
    <x v="0"/>
    <x v="3"/>
    <x v="0"/>
    <x v="7"/>
    <n v="1513"/>
    <n v="0"/>
  </r>
  <r>
    <x v="94"/>
    <x v="83"/>
    <x v="8"/>
    <x v="2"/>
    <n v="8565"/>
    <x v="3"/>
    <x v="94"/>
    <x v="1"/>
    <x v="2"/>
    <x v="27"/>
    <x v="6"/>
    <n v="8790"/>
    <n v="-225"/>
  </r>
  <r>
    <x v="95"/>
    <x v="84"/>
    <x v="2"/>
    <x v="3"/>
    <n v="5826"/>
    <x v="3"/>
    <x v="95"/>
    <x v="1"/>
    <x v="0"/>
    <x v="28"/>
    <x v="9"/>
    <n v="7713"/>
    <n v="-1887"/>
  </r>
  <r>
    <x v="96"/>
    <x v="76"/>
    <x v="3"/>
    <x v="2"/>
    <n v="8961"/>
    <x v="1"/>
    <x v="96"/>
    <x v="1"/>
    <x v="0"/>
    <x v="16"/>
    <x v="7"/>
    <n v="10099"/>
    <n v="16784"/>
  </r>
  <r>
    <x v="97"/>
    <x v="59"/>
    <x v="9"/>
    <x v="2"/>
    <n v="9016"/>
    <x v="4"/>
    <x v="97"/>
    <x v="1"/>
    <x v="1"/>
    <x v="14"/>
    <x v="4"/>
    <n v="8794"/>
    <n v="36286"/>
  </r>
  <r>
    <x v="98"/>
    <x v="85"/>
    <x v="6"/>
    <x v="2"/>
    <n v="8808"/>
    <x v="4"/>
    <x v="98"/>
    <x v="2"/>
    <x v="1"/>
    <x v="0"/>
    <x v="6"/>
    <n v="2081"/>
    <n v="0"/>
  </r>
  <r>
    <x v="99"/>
    <x v="11"/>
    <x v="7"/>
    <x v="1"/>
    <n v="12269"/>
    <x v="4"/>
    <x v="99"/>
    <x v="0"/>
    <x v="0"/>
    <x v="0"/>
    <x v="0"/>
    <n v="1357"/>
    <n v="0"/>
  </r>
  <r>
    <x v="100"/>
    <x v="86"/>
    <x v="5"/>
    <x v="3"/>
    <n v="5955"/>
    <x v="0"/>
    <x v="100"/>
    <x v="2"/>
    <x v="3"/>
    <x v="0"/>
    <x v="8"/>
    <n v="2695"/>
    <n v="0"/>
  </r>
  <r>
    <x v="101"/>
    <x v="87"/>
    <x v="7"/>
    <x v="0"/>
    <n v="9161"/>
    <x v="4"/>
    <x v="101"/>
    <x v="1"/>
    <x v="2"/>
    <x v="26"/>
    <x v="4"/>
    <n v="9916"/>
    <n v="35889"/>
  </r>
  <r>
    <x v="102"/>
    <x v="88"/>
    <x v="9"/>
    <x v="2"/>
    <n v="8590"/>
    <x v="3"/>
    <x v="102"/>
    <x v="1"/>
    <x v="1"/>
    <x v="25"/>
    <x v="9"/>
    <n v="9252"/>
    <n v="-662"/>
  </r>
  <r>
    <x v="103"/>
    <x v="89"/>
    <x v="3"/>
    <x v="1"/>
    <n v="12311"/>
    <x v="0"/>
    <x v="103"/>
    <x v="0"/>
    <x v="3"/>
    <x v="0"/>
    <x v="9"/>
    <n v="2820"/>
    <n v="0"/>
  </r>
  <r>
    <x v="104"/>
    <x v="85"/>
    <x v="6"/>
    <x v="3"/>
    <n v="5113"/>
    <x v="3"/>
    <x v="104"/>
    <x v="1"/>
    <x v="1"/>
    <x v="21"/>
    <x v="3"/>
    <n v="10306"/>
    <n v="-5193"/>
  </r>
  <r>
    <x v="105"/>
    <x v="90"/>
    <x v="8"/>
    <x v="2"/>
    <n v="9159"/>
    <x v="4"/>
    <x v="105"/>
    <x v="0"/>
    <x v="0"/>
    <x v="0"/>
    <x v="0"/>
    <n v="2401"/>
    <n v="0"/>
  </r>
  <r>
    <x v="106"/>
    <x v="91"/>
    <x v="4"/>
    <x v="3"/>
    <n v="5380"/>
    <x v="4"/>
    <x v="106"/>
    <x v="0"/>
    <x v="0"/>
    <x v="0"/>
    <x v="1"/>
    <n v="2783"/>
    <n v="0"/>
  </r>
  <r>
    <x v="107"/>
    <x v="92"/>
    <x v="2"/>
    <x v="3"/>
    <n v="5835"/>
    <x v="0"/>
    <x v="107"/>
    <x v="1"/>
    <x v="1"/>
    <x v="19"/>
    <x v="1"/>
    <n v="7532"/>
    <n v="4138"/>
  </r>
  <r>
    <x v="108"/>
    <x v="56"/>
    <x v="8"/>
    <x v="4"/>
    <n v="7337"/>
    <x v="3"/>
    <x v="108"/>
    <x v="2"/>
    <x v="1"/>
    <x v="0"/>
    <x v="7"/>
    <n v="1806"/>
    <n v="0"/>
  </r>
  <r>
    <x v="109"/>
    <x v="93"/>
    <x v="10"/>
    <x v="1"/>
    <n v="12972"/>
    <x v="2"/>
    <x v="109"/>
    <x v="0"/>
    <x v="2"/>
    <x v="0"/>
    <x v="8"/>
    <n v="1256"/>
    <n v="0"/>
  </r>
  <r>
    <x v="110"/>
    <x v="94"/>
    <x v="5"/>
    <x v="3"/>
    <n v="5051"/>
    <x v="4"/>
    <x v="110"/>
    <x v="1"/>
    <x v="3"/>
    <x v="6"/>
    <x v="1"/>
    <n v="10798"/>
    <n v="14457"/>
  </r>
  <r>
    <x v="111"/>
    <x v="95"/>
    <x v="8"/>
    <x v="4"/>
    <n v="7085"/>
    <x v="0"/>
    <x v="111"/>
    <x v="1"/>
    <x v="1"/>
    <x v="5"/>
    <x v="6"/>
    <n v="8837"/>
    <n v="5333"/>
  </r>
  <r>
    <x v="112"/>
    <x v="86"/>
    <x v="5"/>
    <x v="2"/>
    <n v="8871"/>
    <x v="3"/>
    <x v="112"/>
    <x v="1"/>
    <x v="0"/>
    <x v="26"/>
    <x v="8"/>
    <n v="10699"/>
    <n v="-1828"/>
  </r>
  <r>
    <x v="113"/>
    <x v="96"/>
    <x v="2"/>
    <x v="3"/>
    <n v="5553"/>
    <x v="3"/>
    <x v="113"/>
    <x v="1"/>
    <x v="1"/>
    <x v="28"/>
    <x v="0"/>
    <n v="10580"/>
    <n v="-5027"/>
  </r>
  <r>
    <x v="114"/>
    <x v="12"/>
    <x v="6"/>
    <x v="0"/>
    <n v="9845"/>
    <x v="3"/>
    <x v="114"/>
    <x v="1"/>
    <x v="0"/>
    <x v="20"/>
    <x v="4"/>
    <n v="7079"/>
    <n v="2766"/>
  </r>
  <r>
    <x v="115"/>
    <x v="97"/>
    <x v="2"/>
    <x v="3"/>
    <n v="5763"/>
    <x v="4"/>
    <x v="115"/>
    <x v="1"/>
    <x v="2"/>
    <x v="32"/>
    <x v="8"/>
    <n v="10334"/>
    <n v="18481"/>
  </r>
  <r>
    <x v="116"/>
    <x v="98"/>
    <x v="6"/>
    <x v="1"/>
    <n v="12057"/>
    <x v="2"/>
    <x v="116"/>
    <x v="1"/>
    <x v="2"/>
    <x v="18"/>
    <x v="8"/>
    <n v="7518"/>
    <n v="40710"/>
  </r>
  <r>
    <x v="117"/>
    <x v="99"/>
    <x v="1"/>
    <x v="0"/>
    <n v="9240"/>
    <x v="4"/>
    <x v="117"/>
    <x v="1"/>
    <x v="3"/>
    <x v="8"/>
    <x v="3"/>
    <n v="9345"/>
    <n v="36855"/>
  </r>
  <r>
    <x v="118"/>
    <x v="100"/>
    <x v="5"/>
    <x v="2"/>
    <n v="8882"/>
    <x v="2"/>
    <x v="118"/>
    <x v="0"/>
    <x v="1"/>
    <x v="0"/>
    <x v="6"/>
    <n v="2771"/>
    <n v="0"/>
  </r>
  <r>
    <x v="119"/>
    <x v="101"/>
    <x v="5"/>
    <x v="0"/>
    <n v="9470"/>
    <x v="4"/>
    <x v="119"/>
    <x v="1"/>
    <x v="0"/>
    <x v="28"/>
    <x v="5"/>
    <n v="8375"/>
    <n v="389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9">
  <location ref="M2:N104" firstHeaderRow="1" firstDataRow="1" firstDataCol="1"/>
  <pivotFields count="14">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3">
        <item x="9"/>
        <item x="6"/>
        <item x="4"/>
        <item x="8"/>
        <item x="7"/>
        <item x="1"/>
        <item x="5"/>
        <item x="2"/>
        <item x="0"/>
        <item x="3"/>
        <item x="10"/>
        <item x="11"/>
        <item t="default"/>
      </items>
    </pivotField>
    <pivotField showAll="0">
      <items count="6">
        <item x="4"/>
        <item x="0"/>
        <item x="2"/>
        <item x="3"/>
        <item x="1"/>
        <item t="default"/>
      </items>
    </pivotField>
    <pivotField showAll="0"/>
    <pivotField showAll="0">
      <items count="6">
        <item x="3"/>
        <item x="0"/>
        <item x="1"/>
        <item x="2"/>
        <item x="4"/>
        <item t="default"/>
      </items>
    </pivotField>
    <pivotField dataField="1" showAll="0">
      <items count="121">
        <item x="104"/>
        <item x="113"/>
        <item x="95"/>
        <item x="20"/>
        <item x="44"/>
        <item x="108"/>
        <item x="32"/>
        <item x="37"/>
        <item x="89"/>
        <item x="19"/>
        <item x="58"/>
        <item x="12"/>
        <item x="94"/>
        <item x="102"/>
        <item x="17"/>
        <item x="112"/>
        <item x="69"/>
        <item x="52"/>
        <item x="23"/>
        <item x="30"/>
        <item x="61"/>
        <item x="45"/>
        <item x="29"/>
        <item x="114"/>
        <item x="6"/>
        <item x="107"/>
        <item x="100"/>
        <item x="10"/>
        <item x="48"/>
        <item x="91"/>
        <item x="111"/>
        <item x="53"/>
        <item x="43"/>
        <item x="88"/>
        <item x="76"/>
        <item x="36"/>
        <item x="71"/>
        <item x="49"/>
        <item x="21"/>
        <item x="82"/>
        <item x="87"/>
        <item x="59"/>
        <item x="80"/>
        <item x="8"/>
        <item x="4"/>
        <item x="72"/>
        <item x="0"/>
        <item x="66"/>
        <item x="16"/>
        <item x="62"/>
        <item x="42"/>
        <item x="81"/>
        <item x="13"/>
        <item x="5"/>
        <item x="77"/>
        <item x="40"/>
        <item x="103"/>
        <item x="9"/>
        <item x="33"/>
        <item x="60"/>
        <item x="110"/>
        <item x="18"/>
        <item x="96"/>
        <item x="106"/>
        <item x="27"/>
        <item x="85"/>
        <item x="55"/>
        <item x="115"/>
        <item x="50"/>
        <item x="65"/>
        <item x="70"/>
        <item x="24"/>
        <item x="78"/>
        <item x="118"/>
        <item x="41"/>
        <item x="3"/>
        <item x="86"/>
        <item x="7"/>
        <item x="34"/>
        <item x="79"/>
        <item x="54"/>
        <item x="35"/>
        <item x="92"/>
        <item x="11"/>
        <item x="56"/>
        <item x="93"/>
        <item x="51"/>
        <item x="28"/>
        <item x="39"/>
        <item x="1"/>
        <item x="2"/>
        <item x="15"/>
        <item x="83"/>
        <item x="64"/>
        <item x="67"/>
        <item x="98"/>
        <item x="63"/>
        <item x="97"/>
        <item x="105"/>
        <item x="101"/>
        <item x="117"/>
        <item x="119"/>
        <item x="116"/>
        <item x="14"/>
        <item x="90"/>
        <item x="73"/>
        <item x="75"/>
        <item x="46"/>
        <item x="57"/>
        <item x="74"/>
        <item x="84"/>
        <item x="22"/>
        <item x="109"/>
        <item x="38"/>
        <item x="68"/>
        <item x="99"/>
        <item x="47"/>
        <item x="25"/>
        <item x="26"/>
        <item x="31"/>
        <item t="default"/>
      </items>
    </pivotField>
    <pivotField showAll="0">
      <items count="4">
        <item x="0"/>
        <item x="1"/>
        <item x="2"/>
        <item t="default"/>
      </items>
    </pivotField>
    <pivotField showAll="0">
      <items count="5">
        <item x="2"/>
        <item x="3"/>
        <item x="1"/>
        <item x="0"/>
        <item t="default"/>
      </items>
    </pivotField>
    <pivotField showAll="0">
      <items count="34">
        <item x="0"/>
        <item x="31"/>
        <item x="3"/>
        <item x="28"/>
        <item x="23"/>
        <item x="26"/>
        <item x="27"/>
        <item x="29"/>
        <item x="21"/>
        <item x="8"/>
        <item x="5"/>
        <item x="25"/>
        <item x="10"/>
        <item x="22"/>
        <item x="6"/>
        <item x="9"/>
        <item x="20"/>
        <item x="7"/>
        <item x="18"/>
        <item x="32"/>
        <item x="15"/>
        <item x="4"/>
        <item x="1"/>
        <item x="11"/>
        <item x="12"/>
        <item x="14"/>
        <item x="17"/>
        <item x="13"/>
        <item x="2"/>
        <item x="19"/>
        <item x="16"/>
        <item x="30"/>
        <item x="24"/>
        <item t="default"/>
      </items>
    </pivotField>
    <pivotField showAll="0">
      <items count="11">
        <item x="1"/>
        <item x="5"/>
        <item x="9"/>
        <item x="7"/>
        <item x="0"/>
        <item x="8"/>
        <item x="4"/>
        <item x="2"/>
        <item x="6"/>
        <item x="3"/>
        <item t="default"/>
      </items>
    </pivotField>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102">
    <i>
      <x v="6"/>
    </i>
    <i>
      <x v="8"/>
    </i>
    <i>
      <x v="11"/>
    </i>
    <i>
      <x v="13"/>
    </i>
    <i>
      <x v="14"/>
    </i>
    <i>
      <x v="15"/>
    </i>
    <i>
      <x v="17"/>
    </i>
    <i>
      <x v="28"/>
    </i>
    <i>
      <x v="36"/>
    </i>
    <i>
      <x v="38"/>
    </i>
    <i>
      <x v="40"/>
    </i>
    <i>
      <x v="42"/>
    </i>
    <i>
      <x v="44"/>
    </i>
    <i>
      <x v="49"/>
    </i>
    <i>
      <x v="50"/>
    </i>
    <i>
      <x v="51"/>
    </i>
    <i>
      <x v="52"/>
    </i>
    <i>
      <x v="53"/>
    </i>
    <i>
      <x v="55"/>
    </i>
    <i>
      <x v="56"/>
    </i>
    <i>
      <x v="57"/>
    </i>
    <i>
      <x v="61"/>
    </i>
    <i>
      <x v="64"/>
    </i>
    <i>
      <x v="65"/>
    </i>
    <i>
      <x v="66"/>
    </i>
    <i>
      <x v="68"/>
    </i>
    <i>
      <x v="74"/>
    </i>
    <i>
      <x v="77"/>
    </i>
    <i>
      <x v="78"/>
    </i>
    <i>
      <x v="84"/>
    </i>
    <i>
      <x v="92"/>
    </i>
    <i>
      <x v="93"/>
    </i>
    <i>
      <x v="96"/>
    </i>
    <i>
      <x v="99"/>
    </i>
    <i>
      <x v="100"/>
    </i>
    <i>
      <x v="104"/>
    </i>
    <i>
      <x v="109"/>
    </i>
    <i>
      <x v="111"/>
    </i>
    <i>
      <x v="115"/>
    </i>
    <i>
      <x v="117"/>
    </i>
    <i>
      <x v="118"/>
    </i>
    <i>
      <x v="119"/>
    </i>
    <i>
      <x v="125"/>
    </i>
    <i>
      <x v="126"/>
    </i>
    <i>
      <x v="133"/>
    </i>
    <i>
      <x v="135"/>
    </i>
    <i>
      <x v="136"/>
    </i>
    <i>
      <x v="143"/>
    </i>
    <i>
      <x v="144"/>
    </i>
    <i>
      <x v="146"/>
    </i>
    <i>
      <x v="147"/>
    </i>
    <i>
      <x v="159"/>
    </i>
    <i>
      <x v="162"/>
    </i>
    <i>
      <x v="164"/>
    </i>
    <i>
      <x v="181"/>
    </i>
    <i>
      <x v="183"/>
    </i>
    <i>
      <x v="188"/>
    </i>
    <i>
      <x v="191"/>
    </i>
    <i>
      <x v="194"/>
    </i>
    <i>
      <x v="196"/>
    </i>
    <i>
      <x v="197"/>
    </i>
    <i>
      <x v="198"/>
    </i>
    <i>
      <x v="199"/>
    </i>
    <i>
      <x v="200"/>
    </i>
    <i>
      <x v="206"/>
    </i>
    <i>
      <x v="207"/>
    </i>
    <i>
      <x v="209"/>
    </i>
    <i>
      <x v="210"/>
    </i>
    <i>
      <x v="214"/>
    </i>
    <i>
      <x v="218"/>
    </i>
    <i>
      <x v="223"/>
    </i>
    <i>
      <x v="229"/>
    </i>
    <i>
      <x v="230"/>
    </i>
    <i>
      <x v="232"/>
    </i>
    <i>
      <x v="234"/>
    </i>
    <i>
      <x v="240"/>
    </i>
    <i>
      <x v="242"/>
    </i>
    <i>
      <x v="243"/>
    </i>
    <i>
      <x v="256"/>
    </i>
    <i>
      <x v="263"/>
    </i>
    <i>
      <x v="266"/>
    </i>
    <i>
      <x v="271"/>
    </i>
    <i>
      <x v="273"/>
    </i>
    <i>
      <x v="274"/>
    </i>
    <i>
      <x v="277"/>
    </i>
    <i>
      <x v="279"/>
    </i>
    <i>
      <x v="281"/>
    </i>
    <i>
      <x v="285"/>
    </i>
    <i>
      <x v="288"/>
    </i>
    <i>
      <x v="295"/>
    </i>
    <i>
      <x v="296"/>
    </i>
    <i>
      <x v="297"/>
    </i>
    <i>
      <x v="300"/>
    </i>
    <i>
      <x v="305"/>
    </i>
    <i>
      <x v="306"/>
    </i>
    <i>
      <x v="310"/>
    </i>
    <i>
      <x v="311"/>
    </i>
    <i>
      <x v="319"/>
    </i>
    <i>
      <x v="321"/>
    </i>
    <i>
      <x v="331"/>
    </i>
    <i>
      <x v="334"/>
    </i>
    <i>
      <x v="336"/>
    </i>
  </rowItems>
  <colItems count="1">
    <i/>
  </colItems>
  <dataFields count="1">
    <dataField name="Sum of Total_Revenue" fld="6" baseField="0" baseItem="0"/>
  </dataFields>
  <formats count="2">
    <format dxfId="9">
      <pivotArea outline="0" collapsedLevelsAreSubtotals="1" fieldPosition="0"/>
    </format>
    <format dxfId="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
  <location ref="J2:K6" firstHeaderRow="1" firstDataRow="1" firstDataCol="1"/>
  <pivotFields count="14">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3">
        <item x="9"/>
        <item x="6"/>
        <item x="4"/>
        <item x="8"/>
        <item x="7"/>
        <item x="1"/>
        <item x="5"/>
        <item x="2"/>
        <item x="0"/>
        <item x="3"/>
        <item x="10"/>
        <item x="11"/>
        <item t="default"/>
      </items>
    </pivotField>
    <pivotField showAll="0">
      <items count="6">
        <item x="4"/>
        <item x="0"/>
        <item x="2"/>
        <item x="3"/>
        <item x="1"/>
        <item t="default"/>
      </items>
    </pivotField>
    <pivotField showAll="0"/>
    <pivotField showAll="0"/>
    <pivotField showAll="0"/>
    <pivotField showAll="0">
      <items count="4">
        <item x="0"/>
        <item x="1"/>
        <item x="2"/>
        <item t="default"/>
      </items>
    </pivotField>
    <pivotField axis="axisRow" showAll="0">
      <items count="5">
        <item x="2"/>
        <item x="3"/>
        <item x="1"/>
        <item x="0"/>
        <item t="default"/>
      </items>
    </pivotField>
    <pivotField showAll="0"/>
    <pivotField showAll="0">
      <items count="11">
        <item x="1"/>
        <item x="5"/>
        <item x="9"/>
        <item x="7"/>
        <item x="0"/>
        <item x="8"/>
        <item x="4"/>
        <item x="2"/>
        <item x="6"/>
        <item x="3"/>
        <item t="default"/>
      </items>
    </pivotField>
    <pivotField showAll="0"/>
    <pivotField dataField="1" showAll="0"/>
    <pivotField showAll="0" defaultSubtotal="0">
      <items count="14">
        <item x="0"/>
        <item x="1"/>
        <item x="2"/>
        <item x="3"/>
        <item x="4"/>
        <item x="5"/>
        <item x="6"/>
        <item x="7"/>
        <item x="8"/>
        <item x="9"/>
        <item x="10"/>
        <item x="11"/>
        <item x="12"/>
        <item x="13"/>
      </items>
    </pivotField>
  </pivotFields>
  <rowFields count="1">
    <field x="8"/>
  </rowFields>
  <rowItems count="4">
    <i>
      <x/>
    </i>
    <i>
      <x v="1"/>
    </i>
    <i>
      <x v="2"/>
    </i>
    <i>
      <x v="3"/>
    </i>
  </rowItems>
  <colItems count="1">
    <i/>
  </colItems>
  <dataFields count="1">
    <dataField name="Sum of Profit" fld="12" baseField="0" baseItem="0"/>
  </dataFields>
  <formats count="2">
    <format dxfId="11">
      <pivotArea outline="0" collapsedLevelsAreSubtotals="1" fieldPosition="0"/>
    </format>
    <format dxfId="1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G2:H5" firstHeaderRow="1" firstDataRow="1" firstDataCol="1"/>
  <pivotFields count="14">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3">
        <item x="9"/>
        <item x="6"/>
        <item x="4"/>
        <item x="8"/>
        <item x="7"/>
        <item x="1"/>
        <item x="5"/>
        <item x="2"/>
        <item x="0"/>
        <item x="3"/>
        <item x="10"/>
        <item x="11"/>
        <item t="default"/>
      </items>
    </pivotField>
    <pivotField showAll="0">
      <items count="6">
        <item x="4"/>
        <item x="0"/>
        <item x="2"/>
        <item x="3"/>
        <item x="1"/>
        <item t="default"/>
      </items>
    </pivotField>
    <pivotField showAll="0"/>
    <pivotField showAll="0"/>
    <pivotField showAll="0"/>
    <pivotField axis="axisRow" dataField="1" showAll="0">
      <items count="4">
        <item x="0"/>
        <item x="1"/>
        <item x="2"/>
        <item t="default"/>
      </items>
    </pivotField>
    <pivotField showAll="0"/>
    <pivotField showAll="0"/>
    <pivotField showAll="0">
      <items count="11">
        <item x="1"/>
        <item x="5"/>
        <item x="9"/>
        <item x="7"/>
        <item x="0"/>
        <item x="8"/>
        <item x="4"/>
        <item x="2"/>
        <item x="6"/>
        <item x="3"/>
        <item t="default"/>
      </items>
    </pivotField>
    <pivotField showAll="0"/>
    <pivotField showAll="0"/>
    <pivotField showAll="0" defaultSubtotal="0">
      <items count="14">
        <item x="0"/>
        <item x="1"/>
        <item x="2"/>
        <item x="3"/>
        <item x="4"/>
        <item x="5"/>
        <item x="6"/>
        <item x="7"/>
        <item x="8"/>
        <item x="9"/>
        <item x="10"/>
        <item x="11"/>
        <item x="12"/>
        <item x="13"/>
      </items>
    </pivotField>
  </pivotFields>
  <rowFields count="1">
    <field x="7"/>
  </rowFields>
  <rowItems count="3">
    <i>
      <x/>
    </i>
    <i>
      <x v="1"/>
    </i>
    <i>
      <x v="2"/>
    </i>
  </rowItems>
  <colItems count="1">
    <i/>
  </colItems>
  <dataFields count="1">
    <dataField name="Count of Occupancy_Status" fld="7" subtotal="count" baseField="7" baseItem="0"/>
  </dataFields>
  <formats count="2">
    <format dxfId="13">
      <pivotArea outline="0" collapsedLevelsAreSubtotals="1" fieldPosition="0"/>
    </format>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2:E8" firstHeaderRow="1" firstDataRow="1" firstDataCol="1"/>
  <pivotFields count="14">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3">
        <item x="9"/>
        <item x="6"/>
        <item x="4"/>
        <item x="8"/>
        <item x="7"/>
        <item x="1"/>
        <item x="5"/>
        <item x="2"/>
        <item x="0"/>
        <item x="3"/>
        <item x="10"/>
        <item x="11"/>
        <item t="default"/>
      </items>
    </pivotField>
    <pivotField axis="axisRow" showAll="0">
      <items count="6">
        <item x="4"/>
        <item x="0"/>
        <item x="2"/>
        <item x="3"/>
        <item x="1"/>
        <item t="default"/>
      </items>
    </pivotField>
    <pivotField showAll="0"/>
    <pivotField showAll="0"/>
    <pivotField showAll="0"/>
    <pivotField showAll="0"/>
    <pivotField showAll="0"/>
    <pivotField showAll="0"/>
    <pivotField showAll="0">
      <items count="11">
        <item x="1"/>
        <item x="5"/>
        <item x="9"/>
        <item x="7"/>
        <item x="0"/>
        <item x="8"/>
        <item x="4"/>
        <item x="2"/>
        <item x="6"/>
        <item x="3"/>
        <item t="default"/>
      </items>
    </pivotField>
    <pivotField showAll="0"/>
    <pivotField dataField="1" showAl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Items count="1">
    <i/>
  </colItems>
  <dataFields count="1">
    <dataField name="Sum of Profit" fld="12" baseField="0" baseItem="0"/>
  </dataFields>
  <chartFormats count="6">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3" count="1" selected="0">
            <x v="0"/>
          </reference>
        </references>
      </pivotArea>
    </chartFormat>
    <chartFormat chart="2" format="10">
      <pivotArea type="data" outline="0" fieldPosition="0">
        <references count="2">
          <reference field="4294967294" count="1" selected="0">
            <x v="0"/>
          </reference>
          <reference field="3" count="1" selected="0">
            <x v="1"/>
          </reference>
        </references>
      </pivotArea>
    </chartFormat>
    <chartFormat chart="2" format="11">
      <pivotArea type="data" outline="0" fieldPosition="0">
        <references count="2">
          <reference field="4294967294" count="1" selected="0">
            <x v="0"/>
          </reference>
          <reference field="3" count="1" selected="0">
            <x v="2"/>
          </reference>
        </references>
      </pivotArea>
    </chartFormat>
    <chartFormat chart="2" format="12">
      <pivotArea type="data" outline="0" fieldPosition="0">
        <references count="2">
          <reference field="4294967294" count="1" selected="0">
            <x v="0"/>
          </reference>
          <reference field="3" count="1" selected="0">
            <x v="3"/>
          </reference>
        </references>
      </pivotArea>
    </chartFormat>
    <chartFormat chart="2" format="13">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2:B13" firstHeaderRow="1" firstDataRow="1" firstDataCol="1"/>
  <pivotFields count="14">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3">
        <item x="9"/>
        <item x="6"/>
        <item x="4"/>
        <item x="8"/>
        <item x="7"/>
        <item x="1"/>
        <item x="5"/>
        <item x="2"/>
        <item x="0"/>
        <item x="3"/>
        <item x="10"/>
        <item x="11"/>
        <item t="default"/>
      </items>
    </pivotField>
    <pivotField showAll="0"/>
    <pivotField showAll="0"/>
    <pivotField showAll="0"/>
    <pivotField showAll="0"/>
    <pivotField showAll="0"/>
    <pivotField showAll="0"/>
    <pivotField showAll="0"/>
    <pivotField axis="axisRow" showAll="0">
      <items count="11">
        <item x="1"/>
        <item x="5"/>
        <item x="9"/>
        <item x="7"/>
        <item x="0"/>
        <item x="8"/>
        <item x="4"/>
        <item x="2"/>
        <item x="6"/>
        <item x="3"/>
        <item t="default"/>
      </items>
    </pivotField>
    <pivotField showAll="0"/>
    <pivotField dataField="1" showAll="0"/>
    <pivotField showAll="0" defaultSubtotal="0">
      <items count="14">
        <item x="0"/>
        <item x="1"/>
        <item x="2"/>
        <item x="3"/>
        <item x="4"/>
        <item x="5"/>
        <item x="6"/>
        <item x="7"/>
        <item x="8"/>
        <item x="9"/>
        <item x="10"/>
        <item x="11"/>
        <item x="12"/>
        <item x="13"/>
      </items>
    </pivotField>
  </pivotFields>
  <rowFields count="1">
    <field x="10"/>
  </rowFields>
  <rowItems count="11">
    <i>
      <x/>
    </i>
    <i>
      <x v="1"/>
    </i>
    <i>
      <x v="2"/>
    </i>
    <i>
      <x v="3"/>
    </i>
    <i>
      <x v="4"/>
    </i>
    <i>
      <x v="5"/>
    </i>
    <i>
      <x v="6"/>
    </i>
    <i>
      <x v="7"/>
    </i>
    <i>
      <x v="8"/>
    </i>
    <i>
      <x v="9"/>
    </i>
    <i t="grand">
      <x/>
    </i>
  </rowItems>
  <colItems count="1">
    <i/>
  </colItems>
  <dataFields count="1">
    <dataField name="Sum of Profit" fld="12" baseField="0" baseItem="0"/>
  </dataFields>
  <chartFormats count="2">
    <chartFormat chart="2"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G15:K19" firstHeaderRow="1" firstDataRow="2" firstDataCol="1"/>
  <pivotFields count="14">
    <pivotField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3">
        <item x="9"/>
        <item x="6"/>
        <item x="4"/>
        <item x="8"/>
        <item x="7"/>
        <item x="1"/>
        <item x="5"/>
        <item x="2"/>
        <item x="0"/>
        <item x="3"/>
        <item x="10"/>
        <item x="11"/>
        <item t="default"/>
      </items>
    </pivotField>
    <pivotField showAll="0">
      <items count="6">
        <item x="4"/>
        <item x="0"/>
        <item x="2"/>
        <item x="3"/>
        <item x="1"/>
        <item t="default"/>
      </items>
    </pivotField>
    <pivotField showAll="0"/>
    <pivotField showAll="0"/>
    <pivotField showAll="0"/>
    <pivotField axis="axisRow" showAll="0">
      <items count="4">
        <item x="0"/>
        <item x="1"/>
        <item x="2"/>
        <item t="default"/>
      </items>
    </pivotField>
    <pivotField axis="axisCol" dataField="1" showAll="0">
      <items count="5">
        <item x="2"/>
        <item x="3"/>
        <item x="1"/>
        <item x="0"/>
        <item t="default"/>
      </items>
    </pivotField>
    <pivotField showAll="0"/>
    <pivotField showAll="0">
      <items count="11">
        <item x="1"/>
        <item x="5"/>
        <item x="9"/>
        <item x="7"/>
        <item x="0"/>
        <item x="8"/>
        <item x="4"/>
        <item x="2"/>
        <item x="6"/>
        <item x="3"/>
        <item t="default"/>
      </items>
    </pivotField>
    <pivotField showAll="0"/>
    <pivotField showAll="0"/>
    <pivotField showAll="0" defaultSubtotal="0">
      <items count="14">
        <item x="0"/>
        <item x="1"/>
        <item x="2"/>
        <item x="3"/>
        <item x="4"/>
        <item x="5"/>
        <item x="6"/>
        <item x="7"/>
        <item x="8"/>
        <item x="9"/>
        <item x="10"/>
        <item x="11"/>
        <item x="12"/>
        <item x="13"/>
      </items>
    </pivotField>
  </pivotFields>
  <rowFields count="1">
    <field x="7"/>
  </rowFields>
  <rowItems count="3">
    <i>
      <x/>
    </i>
    <i>
      <x v="1"/>
    </i>
    <i>
      <x v="2"/>
    </i>
  </rowItems>
  <colFields count="1">
    <field x="8"/>
  </colFields>
  <colItems count="4">
    <i>
      <x/>
    </i>
    <i>
      <x v="1"/>
    </i>
    <i>
      <x v="2"/>
    </i>
    <i>
      <x v="3"/>
    </i>
  </colItems>
  <dataFields count="1">
    <dataField name="Count of Booking_Source" fld="8" subtotal="count" baseField="0" baseItem="0"/>
  </dataFields>
  <formats count="2">
    <format dxfId="15">
      <pivotArea outline="0" collapsedLevelsAreSubtotals="1" fieldPosition="0"/>
    </format>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4">
    <queryTableFields count="13">
      <queryTableField id="1" name="Booking_ID" tableColumnId="1"/>
      <queryTableField id="2" name="Date" tableColumnId="2"/>
      <queryTableField id="3" name="Month" tableColumnId="3"/>
      <queryTableField id="4" name="Room_Type" tableColumnId="4"/>
      <queryTableField id="5" name="Room_Rate" tableColumnId="5"/>
      <queryTableField id="6" name="Nights_Stayed" tableColumnId="6"/>
      <queryTableField id="7" name="Total_Revenue" tableColumnId="7"/>
      <queryTableField id="8" name="Occupancy_Status" tableColumnId="8"/>
      <queryTableField id="9" name="Booking_Source" tableColumnId="9"/>
      <queryTableField id="10" name="Guest_Rating" tableColumnId="10"/>
      <queryTableField id="11" name="Country" tableColumnId="11"/>
      <queryTableField id="12" name="Expenses" tableColumnId="12"/>
      <queryTableField id="13" name="Profit"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4" name="PivotTable2"/>
    <pivotTable tabId="4" name="PivotTable3"/>
    <pivotTable tabId="4" name="PivotTable4"/>
    <pivotTable tabId="4" name="PivotTable5"/>
    <pivotTable tabId="4" name="PivotTable6"/>
    <pivotTable tabId="4" name="PivotTable7"/>
  </pivotTables>
  <data>
    <tabular pivotCacheId="1">
      <items count="12">
        <i x="9" s="1"/>
        <i x="6" s="1"/>
        <i x="4" s="1"/>
        <i x="8" s="1"/>
        <i x="7" s="1"/>
        <i x="1" s="1"/>
        <i x="5" s="1"/>
        <i x="2" s="1"/>
        <i x="0" s="1"/>
        <i x="3"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showCaption="0" style="SlicerStyleDark3"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Sheet1" displayName="Sheet1" ref="A1:M121" tableType="queryTable" totalsRowShown="0">
  <autoFilter ref="A1:M121"/>
  <tableColumns count="13">
    <tableColumn id="1" uniqueName="1" name="Booking_ID" queryTableFieldId="1" dataDxfId="28"/>
    <tableColumn id="2" uniqueName="2" name="Date" queryTableFieldId="2" dataDxfId="27"/>
    <tableColumn id="3" uniqueName="3" name="Month" queryTableFieldId="3" dataDxfId="26"/>
    <tableColumn id="4" uniqueName="4" name="Room_Type" queryTableFieldId="4" dataDxfId="25"/>
    <tableColumn id="5" uniqueName="5" name="Room_Rate" queryTableFieldId="5" dataDxfId="24"/>
    <tableColumn id="6" uniqueName="6" name="Nights_Stayed" queryTableFieldId="6" dataDxfId="23"/>
    <tableColumn id="7" uniqueName="7" name="Total_Revenue" queryTableFieldId="7" dataDxfId="22"/>
    <tableColumn id="8" uniqueName="8" name="Occupancy_Status" queryTableFieldId="8" dataDxfId="21"/>
    <tableColumn id="9" uniqueName="9" name="Booking_Source" queryTableFieldId="9" dataDxfId="20"/>
    <tableColumn id="10" uniqueName="10" name="Guest_Rating" queryTableFieldId="10" dataDxfId="19"/>
    <tableColumn id="11" uniqueName="11" name="Country" queryTableFieldId="11" dataDxfId="18"/>
    <tableColumn id="12" uniqueName="12" name="Expenses" queryTableFieldId="12" dataDxfId="17"/>
    <tableColumn id="13" uniqueName="13" name="Profit" queryTableFieldId="13" dataDxf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1"/>
  <sheetViews>
    <sheetView workbookViewId="0">
      <selection activeCell="A3" sqref="A3:XFD3"/>
    </sheetView>
  </sheetViews>
  <sheetFormatPr defaultRowHeight="15" x14ac:dyDescent="0.25"/>
  <cols>
    <col min="1" max="1" width="13.28515625" bestFit="1" customWidth="1"/>
    <col min="2" max="2" width="10.42578125" bestFit="1" customWidth="1"/>
    <col min="3" max="3" width="10.85546875" bestFit="1" customWidth="1"/>
    <col min="4" max="4" width="13.7109375" bestFit="1" customWidth="1"/>
    <col min="5" max="5" width="13.42578125" bestFit="1" customWidth="1"/>
    <col min="6" max="6" width="16.140625" bestFit="1" customWidth="1"/>
    <col min="7" max="7" width="16.7109375" bestFit="1" customWidth="1"/>
    <col min="8" max="8" width="19.28515625" bestFit="1" customWidth="1"/>
    <col min="9" max="9" width="17.5703125" bestFit="1" customWidth="1"/>
    <col min="10" max="10" width="15.140625" bestFit="1" customWidth="1"/>
    <col min="11" max="11" width="10.28515625" bestFit="1" customWidth="1"/>
    <col min="12" max="12" width="11.5703125" bestFit="1" customWidth="1"/>
    <col min="13" max="13" width="8.28515625" bestFit="1" customWidth="1"/>
    <col min="15" max="15" width="17.140625" customWidth="1"/>
  </cols>
  <sheetData>
    <row r="1" spans="1:13" x14ac:dyDescent="0.25">
      <c r="A1" s="2" t="s">
        <v>0</v>
      </c>
      <c r="B1" s="2" t="s">
        <v>15</v>
      </c>
      <c r="C1" s="2" t="s">
        <v>16</v>
      </c>
      <c r="D1" s="2" t="s">
        <v>1</v>
      </c>
      <c r="E1" s="2" t="s">
        <v>3</v>
      </c>
      <c r="F1" s="2" t="s">
        <v>2</v>
      </c>
      <c r="G1" s="2" t="s">
        <v>17</v>
      </c>
      <c r="H1" s="2" t="s">
        <v>5</v>
      </c>
      <c r="I1" s="2" t="s">
        <v>4</v>
      </c>
      <c r="J1" s="2" t="s">
        <v>18</v>
      </c>
      <c r="K1" s="2" t="s">
        <v>19</v>
      </c>
      <c r="L1" s="2" t="s">
        <v>20</v>
      </c>
      <c r="M1" s="2" t="s">
        <v>6</v>
      </c>
    </row>
    <row r="2" spans="1:13" x14ac:dyDescent="0.25">
      <c r="A2" s="2" t="s">
        <v>21</v>
      </c>
      <c r="B2" s="5">
        <v>45912</v>
      </c>
      <c r="C2" s="2" t="s">
        <v>22</v>
      </c>
      <c r="D2" s="2" t="s">
        <v>23</v>
      </c>
      <c r="E2" s="2">
        <v>9466</v>
      </c>
      <c r="F2" s="2">
        <v>2</v>
      </c>
      <c r="G2" s="2">
        <v>18932</v>
      </c>
      <c r="H2" s="2" t="s">
        <v>24</v>
      </c>
      <c r="I2" s="2" t="s">
        <v>25</v>
      </c>
      <c r="J2" s="2">
        <v>0</v>
      </c>
      <c r="K2" s="2" t="s">
        <v>26</v>
      </c>
      <c r="L2" s="2">
        <v>2951</v>
      </c>
      <c r="M2" s="2">
        <v>0</v>
      </c>
    </row>
    <row r="3" spans="1:13" x14ac:dyDescent="0.25">
      <c r="A3" s="2" t="s">
        <v>27</v>
      </c>
      <c r="B3" s="5">
        <v>45815</v>
      </c>
      <c r="C3" s="2" t="s">
        <v>28</v>
      </c>
      <c r="D3" s="2" t="s">
        <v>8</v>
      </c>
      <c r="E3" s="2">
        <v>12679</v>
      </c>
      <c r="F3" s="2">
        <v>3</v>
      </c>
      <c r="G3" s="2">
        <v>38037</v>
      </c>
      <c r="H3" s="2" t="s">
        <v>10</v>
      </c>
      <c r="I3" s="2" t="s">
        <v>25</v>
      </c>
      <c r="J3" s="2">
        <v>8.6999999999999993</v>
      </c>
      <c r="K3" s="2" t="s">
        <v>26</v>
      </c>
      <c r="L3" s="2">
        <v>10008</v>
      </c>
      <c r="M3" s="2">
        <v>28029</v>
      </c>
    </row>
    <row r="4" spans="1:13" x14ac:dyDescent="0.25">
      <c r="A4" s="2" t="s">
        <v>29</v>
      </c>
      <c r="B4" s="5">
        <v>45896</v>
      </c>
      <c r="C4" s="2" t="s">
        <v>30</v>
      </c>
      <c r="D4" s="2" t="s">
        <v>23</v>
      </c>
      <c r="E4" s="2">
        <v>9686</v>
      </c>
      <c r="F4" s="2">
        <v>4</v>
      </c>
      <c r="G4" s="2">
        <v>38744</v>
      </c>
      <c r="H4" s="2" t="s">
        <v>10</v>
      </c>
      <c r="I4" s="2" t="s">
        <v>9</v>
      </c>
      <c r="J4" s="2">
        <v>9.4</v>
      </c>
      <c r="K4" s="2" t="s">
        <v>31</v>
      </c>
      <c r="L4" s="2">
        <v>8286</v>
      </c>
      <c r="M4" s="2">
        <v>30458</v>
      </c>
    </row>
    <row r="5" spans="1:13" x14ac:dyDescent="0.25">
      <c r="A5" s="2" t="s">
        <v>32</v>
      </c>
      <c r="B5" s="5">
        <v>45935</v>
      </c>
      <c r="C5" s="2" t="s">
        <v>33</v>
      </c>
      <c r="D5" s="2" t="s">
        <v>34</v>
      </c>
      <c r="E5" s="2">
        <v>8907</v>
      </c>
      <c r="F5" s="2">
        <v>4</v>
      </c>
      <c r="G5" s="2">
        <v>35628</v>
      </c>
      <c r="H5" s="2" t="s">
        <v>10</v>
      </c>
      <c r="I5" s="2" t="s">
        <v>9</v>
      </c>
      <c r="J5" s="2">
        <v>6.6</v>
      </c>
      <c r="K5" s="2" t="s">
        <v>35</v>
      </c>
      <c r="L5" s="2">
        <v>7261</v>
      </c>
      <c r="M5" s="2">
        <v>28367</v>
      </c>
    </row>
    <row r="6" spans="1:13" x14ac:dyDescent="0.25">
      <c r="A6" s="2" t="s">
        <v>36</v>
      </c>
      <c r="B6" s="5">
        <v>45951</v>
      </c>
      <c r="C6" s="2" t="s">
        <v>33</v>
      </c>
      <c r="D6" s="2" t="s">
        <v>23</v>
      </c>
      <c r="E6" s="2">
        <v>9186</v>
      </c>
      <c r="F6" s="2">
        <v>2</v>
      </c>
      <c r="G6" s="2">
        <v>18372</v>
      </c>
      <c r="H6" s="2" t="s">
        <v>10</v>
      </c>
      <c r="I6" s="2" t="s">
        <v>25</v>
      </c>
      <c r="J6" s="2">
        <v>8.6999999999999993</v>
      </c>
      <c r="K6" s="2" t="s">
        <v>37</v>
      </c>
      <c r="L6" s="2">
        <v>9185</v>
      </c>
      <c r="M6" s="2">
        <v>9187</v>
      </c>
    </row>
    <row r="7" spans="1:13" x14ac:dyDescent="0.25">
      <c r="A7" s="2" t="s">
        <v>38</v>
      </c>
      <c r="B7" s="5">
        <v>45721</v>
      </c>
      <c r="C7" s="2" t="s">
        <v>39</v>
      </c>
      <c r="D7" s="2" t="s">
        <v>40</v>
      </c>
      <c r="E7" s="2">
        <v>5871</v>
      </c>
      <c r="F7" s="2">
        <v>4</v>
      </c>
      <c r="G7" s="2">
        <v>23484</v>
      </c>
      <c r="H7" s="2" t="s">
        <v>10</v>
      </c>
      <c r="I7" s="2" t="s">
        <v>41</v>
      </c>
      <c r="J7" s="2">
        <v>8.6</v>
      </c>
      <c r="K7" s="2" t="s">
        <v>35</v>
      </c>
      <c r="L7" s="2">
        <v>9318</v>
      </c>
      <c r="M7" s="2">
        <v>14166</v>
      </c>
    </row>
    <row r="8" spans="1:13" x14ac:dyDescent="0.25">
      <c r="A8" s="2" t="s">
        <v>42</v>
      </c>
      <c r="B8" s="5">
        <v>45844</v>
      </c>
      <c r="C8" s="2" t="s">
        <v>43</v>
      </c>
      <c r="D8" s="2" t="s">
        <v>40</v>
      </c>
      <c r="E8" s="2">
        <v>5623</v>
      </c>
      <c r="F8" s="2">
        <v>2</v>
      </c>
      <c r="G8" s="2">
        <v>11246</v>
      </c>
      <c r="H8" s="2" t="s">
        <v>11</v>
      </c>
      <c r="I8" s="2" t="s">
        <v>25</v>
      </c>
      <c r="J8" s="2">
        <v>0</v>
      </c>
      <c r="K8" s="2" t="s">
        <v>44</v>
      </c>
      <c r="L8" s="2">
        <v>1175</v>
      </c>
      <c r="M8" s="2">
        <v>0</v>
      </c>
    </row>
    <row r="9" spans="1:13" x14ac:dyDescent="0.25">
      <c r="A9" s="2" t="s">
        <v>45</v>
      </c>
      <c r="B9" s="5">
        <v>45927</v>
      </c>
      <c r="C9" s="2" t="s">
        <v>22</v>
      </c>
      <c r="D9" s="2" t="s">
        <v>8</v>
      </c>
      <c r="E9" s="2">
        <v>12017</v>
      </c>
      <c r="F9" s="2">
        <v>3</v>
      </c>
      <c r="G9" s="2">
        <v>36051</v>
      </c>
      <c r="H9" s="2" t="s">
        <v>10</v>
      </c>
      <c r="I9" s="2" t="s">
        <v>9</v>
      </c>
      <c r="J9" s="2">
        <v>7.5</v>
      </c>
      <c r="K9" s="2" t="s">
        <v>44</v>
      </c>
      <c r="L9" s="2">
        <v>9262</v>
      </c>
      <c r="M9" s="2">
        <v>26789</v>
      </c>
    </row>
    <row r="10" spans="1:13" x14ac:dyDescent="0.25">
      <c r="A10" s="2" t="s">
        <v>46</v>
      </c>
      <c r="B10" s="5">
        <v>45693</v>
      </c>
      <c r="C10" s="2" t="s">
        <v>47</v>
      </c>
      <c r="D10" s="2" t="s">
        <v>34</v>
      </c>
      <c r="E10" s="2">
        <v>9170</v>
      </c>
      <c r="F10" s="2">
        <v>2</v>
      </c>
      <c r="G10" s="2">
        <v>18340</v>
      </c>
      <c r="H10" s="2" t="s">
        <v>10</v>
      </c>
      <c r="I10" s="2" t="s">
        <v>25</v>
      </c>
      <c r="J10" s="2">
        <v>7.9</v>
      </c>
      <c r="K10" s="2" t="s">
        <v>35</v>
      </c>
      <c r="L10" s="2">
        <v>10235</v>
      </c>
      <c r="M10" s="2">
        <v>8105</v>
      </c>
    </row>
    <row r="11" spans="1:13" x14ac:dyDescent="0.25">
      <c r="A11" s="2" t="s">
        <v>48</v>
      </c>
      <c r="B11" s="5">
        <v>45710</v>
      </c>
      <c r="C11" s="2" t="s">
        <v>47</v>
      </c>
      <c r="D11" s="2" t="s">
        <v>8</v>
      </c>
      <c r="E11" s="2">
        <v>12412</v>
      </c>
      <c r="F11" s="2">
        <v>2</v>
      </c>
      <c r="G11" s="2">
        <v>24824</v>
      </c>
      <c r="H11" s="2" t="s">
        <v>10</v>
      </c>
      <c r="I11" s="2" t="s">
        <v>9</v>
      </c>
      <c r="J11" s="2">
        <v>8.1999999999999993</v>
      </c>
      <c r="K11" s="2" t="s">
        <v>49</v>
      </c>
      <c r="L11" s="2">
        <v>8676</v>
      </c>
      <c r="M11" s="2">
        <v>16148</v>
      </c>
    </row>
    <row r="12" spans="1:13" x14ac:dyDescent="0.25">
      <c r="A12" s="2" t="s">
        <v>50</v>
      </c>
      <c r="B12" s="5">
        <v>45933</v>
      </c>
      <c r="C12" s="2" t="s">
        <v>33</v>
      </c>
      <c r="D12" s="2" t="s">
        <v>8</v>
      </c>
      <c r="E12" s="2">
        <v>12139</v>
      </c>
      <c r="F12" s="2">
        <v>1</v>
      </c>
      <c r="G12" s="2">
        <v>12139</v>
      </c>
      <c r="H12" s="2" t="s">
        <v>10</v>
      </c>
      <c r="I12" s="2" t="s">
        <v>25</v>
      </c>
      <c r="J12" s="2">
        <v>7.4</v>
      </c>
      <c r="K12" s="2" t="s">
        <v>26</v>
      </c>
      <c r="L12" s="2">
        <v>10321</v>
      </c>
      <c r="M12" s="2">
        <v>1818</v>
      </c>
    </row>
    <row r="13" spans="1:13" x14ac:dyDescent="0.25">
      <c r="A13" s="2" t="s">
        <v>51</v>
      </c>
      <c r="B13" s="5">
        <v>45800</v>
      </c>
      <c r="C13" s="2" t="s">
        <v>52</v>
      </c>
      <c r="D13" s="2" t="s">
        <v>23</v>
      </c>
      <c r="E13" s="2">
        <v>9170</v>
      </c>
      <c r="F13" s="2">
        <v>4</v>
      </c>
      <c r="G13" s="2">
        <v>36680</v>
      </c>
      <c r="H13" s="2" t="s">
        <v>10</v>
      </c>
      <c r="I13" s="2" t="s">
        <v>41</v>
      </c>
      <c r="J13" s="2">
        <v>8</v>
      </c>
      <c r="K13" s="2" t="s">
        <v>44</v>
      </c>
      <c r="L13" s="2">
        <v>7697</v>
      </c>
      <c r="M13" s="2">
        <v>28983</v>
      </c>
    </row>
    <row r="14" spans="1:13" x14ac:dyDescent="0.25">
      <c r="A14" s="2" t="s">
        <v>53</v>
      </c>
      <c r="B14" s="5">
        <v>45712</v>
      </c>
      <c r="C14" s="2" t="s">
        <v>47</v>
      </c>
      <c r="D14" s="2" t="s">
        <v>7</v>
      </c>
      <c r="E14" s="2">
        <v>7914</v>
      </c>
      <c r="F14" s="2">
        <v>1</v>
      </c>
      <c r="G14" s="2">
        <v>7914</v>
      </c>
      <c r="H14" s="2" t="s">
        <v>11</v>
      </c>
      <c r="I14" s="2" t="s">
        <v>25</v>
      </c>
      <c r="J14" s="2">
        <v>0</v>
      </c>
      <c r="K14" s="2" t="s">
        <v>54</v>
      </c>
      <c r="L14" s="2">
        <v>2279</v>
      </c>
      <c r="M14" s="2">
        <v>0</v>
      </c>
    </row>
    <row r="15" spans="1:13" x14ac:dyDescent="0.25">
      <c r="A15" s="2" t="s">
        <v>55</v>
      </c>
      <c r="B15" s="5">
        <v>45844</v>
      </c>
      <c r="C15" s="2" t="s">
        <v>43</v>
      </c>
      <c r="D15" s="2" t="s">
        <v>7</v>
      </c>
      <c r="E15" s="2">
        <v>7620</v>
      </c>
      <c r="F15" s="2">
        <v>3</v>
      </c>
      <c r="G15" s="2">
        <v>22860</v>
      </c>
      <c r="H15" s="2" t="s">
        <v>24</v>
      </c>
      <c r="I15" s="2" t="s">
        <v>12</v>
      </c>
      <c r="J15" s="2">
        <v>0</v>
      </c>
      <c r="K15" s="2" t="s">
        <v>31</v>
      </c>
      <c r="L15" s="2">
        <v>1009</v>
      </c>
      <c r="M15" s="2">
        <v>0</v>
      </c>
    </row>
    <row r="16" spans="1:13" x14ac:dyDescent="0.25">
      <c r="A16" s="2" t="s">
        <v>56</v>
      </c>
      <c r="B16" s="5">
        <v>45802</v>
      </c>
      <c r="C16" s="2" t="s">
        <v>52</v>
      </c>
      <c r="D16" s="2" t="s">
        <v>23</v>
      </c>
      <c r="E16" s="2">
        <v>9769</v>
      </c>
      <c r="F16" s="2">
        <v>5</v>
      </c>
      <c r="G16" s="2">
        <v>48845</v>
      </c>
      <c r="H16" s="2" t="s">
        <v>10</v>
      </c>
      <c r="I16" s="2" t="s">
        <v>41</v>
      </c>
      <c r="J16" s="2">
        <v>7.7</v>
      </c>
      <c r="K16" s="2" t="s">
        <v>57</v>
      </c>
      <c r="L16" s="2">
        <v>10374</v>
      </c>
      <c r="M16" s="2">
        <v>38471</v>
      </c>
    </row>
    <row r="17" spans="1:13" x14ac:dyDescent="0.25">
      <c r="A17" s="2" t="s">
        <v>58</v>
      </c>
      <c r="B17" s="5">
        <v>45890</v>
      </c>
      <c r="C17" s="2" t="s">
        <v>30</v>
      </c>
      <c r="D17" s="2" t="s">
        <v>8</v>
      </c>
      <c r="E17" s="2">
        <v>12978</v>
      </c>
      <c r="F17" s="2">
        <v>3</v>
      </c>
      <c r="G17" s="2">
        <v>38934</v>
      </c>
      <c r="H17" s="2" t="s">
        <v>11</v>
      </c>
      <c r="I17" s="2" t="s">
        <v>9</v>
      </c>
      <c r="J17" s="2">
        <v>0</v>
      </c>
      <c r="K17" s="2" t="s">
        <v>49</v>
      </c>
      <c r="L17" s="2">
        <v>1992</v>
      </c>
      <c r="M17" s="2">
        <v>0</v>
      </c>
    </row>
    <row r="18" spans="1:13" x14ac:dyDescent="0.25">
      <c r="A18" s="2" t="s">
        <v>59</v>
      </c>
      <c r="B18" s="5">
        <v>45953</v>
      </c>
      <c r="C18" s="2" t="s">
        <v>33</v>
      </c>
      <c r="D18" s="2" t="s">
        <v>23</v>
      </c>
      <c r="E18" s="2">
        <v>9824</v>
      </c>
      <c r="F18" s="2">
        <v>2</v>
      </c>
      <c r="G18" s="2">
        <v>19648</v>
      </c>
      <c r="H18" s="2" t="s">
        <v>11</v>
      </c>
      <c r="I18" s="2" t="s">
        <v>12</v>
      </c>
      <c r="J18" s="2">
        <v>0</v>
      </c>
      <c r="K18" s="2" t="s">
        <v>44</v>
      </c>
      <c r="L18" s="2">
        <v>1830</v>
      </c>
      <c r="M18" s="2">
        <v>0</v>
      </c>
    </row>
    <row r="19" spans="1:13" x14ac:dyDescent="0.25">
      <c r="A19" s="2" t="s">
        <v>60</v>
      </c>
      <c r="B19" s="5">
        <v>45941</v>
      </c>
      <c r="C19" s="2" t="s">
        <v>33</v>
      </c>
      <c r="D19" s="2" t="s">
        <v>34</v>
      </c>
      <c r="E19" s="2">
        <v>8776</v>
      </c>
      <c r="F19" s="2">
        <v>1</v>
      </c>
      <c r="G19" s="2">
        <v>8776</v>
      </c>
      <c r="H19" s="2" t="s">
        <v>11</v>
      </c>
      <c r="I19" s="2" t="s">
        <v>41</v>
      </c>
      <c r="J19" s="2">
        <v>0</v>
      </c>
      <c r="K19" s="2" t="s">
        <v>49</v>
      </c>
      <c r="L19" s="2">
        <v>2872</v>
      </c>
      <c r="M19" s="2">
        <v>0</v>
      </c>
    </row>
    <row r="20" spans="1:13" x14ac:dyDescent="0.25">
      <c r="A20" s="2" t="s">
        <v>61</v>
      </c>
      <c r="B20" s="5">
        <v>45837</v>
      </c>
      <c r="C20" s="2" t="s">
        <v>28</v>
      </c>
      <c r="D20" s="2" t="s">
        <v>40</v>
      </c>
      <c r="E20" s="2">
        <v>5178</v>
      </c>
      <c r="F20" s="2">
        <v>5</v>
      </c>
      <c r="G20" s="2">
        <v>25890</v>
      </c>
      <c r="H20" s="2" t="s">
        <v>10</v>
      </c>
      <c r="I20" s="2" t="s">
        <v>12</v>
      </c>
      <c r="J20" s="2">
        <v>7.7</v>
      </c>
      <c r="K20" s="2" t="s">
        <v>49</v>
      </c>
      <c r="L20" s="2">
        <v>8485</v>
      </c>
      <c r="M20" s="2">
        <v>17405</v>
      </c>
    </row>
    <row r="21" spans="1:13" x14ac:dyDescent="0.25">
      <c r="A21" s="2" t="s">
        <v>62</v>
      </c>
      <c r="B21" s="5">
        <v>45774</v>
      </c>
      <c r="C21" s="2" t="s">
        <v>63</v>
      </c>
      <c r="D21" s="2" t="s">
        <v>7</v>
      </c>
      <c r="E21" s="2">
        <v>7639</v>
      </c>
      <c r="F21" s="2">
        <v>1</v>
      </c>
      <c r="G21" s="2">
        <v>7639</v>
      </c>
      <c r="H21" s="2" t="s">
        <v>11</v>
      </c>
      <c r="I21" s="2" t="s">
        <v>25</v>
      </c>
      <c r="J21" s="2">
        <v>0</v>
      </c>
      <c r="K21" s="2" t="s">
        <v>49</v>
      </c>
      <c r="L21" s="2">
        <v>1336</v>
      </c>
      <c r="M21" s="2">
        <v>0</v>
      </c>
    </row>
    <row r="22" spans="1:13" x14ac:dyDescent="0.25">
      <c r="A22" s="2" t="s">
        <v>64</v>
      </c>
      <c r="B22" s="5">
        <v>45697</v>
      </c>
      <c r="C22" s="2" t="s">
        <v>47</v>
      </c>
      <c r="D22" s="2" t="s">
        <v>7</v>
      </c>
      <c r="E22" s="2">
        <v>7067</v>
      </c>
      <c r="F22" s="2">
        <v>1</v>
      </c>
      <c r="G22" s="2">
        <v>7067</v>
      </c>
      <c r="H22" s="2" t="s">
        <v>10</v>
      </c>
      <c r="I22" s="2" t="s">
        <v>12</v>
      </c>
      <c r="J22" s="2">
        <v>8.8000000000000007</v>
      </c>
      <c r="K22" s="2" t="s">
        <v>37</v>
      </c>
      <c r="L22" s="2">
        <v>10025</v>
      </c>
      <c r="M22" s="2">
        <v>-2958</v>
      </c>
    </row>
    <row r="23" spans="1:13" ht="14.25" customHeight="1" x14ac:dyDescent="0.25">
      <c r="A23" s="2" t="s">
        <v>65</v>
      </c>
      <c r="B23" s="5">
        <v>45717</v>
      </c>
      <c r="C23" s="2" t="s">
        <v>39</v>
      </c>
      <c r="D23" s="2" t="s">
        <v>40</v>
      </c>
      <c r="E23" s="2">
        <v>5896</v>
      </c>
      <c r="F23" s="2">
        <v>3</v>
      </c>
      <c r="G23" s="2">
        <v>17688</v>
      </c>
      <c r="H23" s="2" t="s">
        <v>10</v>
      </c>
      <c r="I23" s="2" t="s">
        <v>25</v>
      </c>
      <c r="J23" s="2">
        <v>9</v>
      </c>
      <c r="K23" s="2" t="s">
        <v>37</v>
      </c>
      <c r="L23" s="2">
        <v>7453</v>
      </c>
      <c r="M23" s="2">
        <v>10235</v>
      </c>
    </row>
    <row r="24" spans="1:13" x14ac:dyDescent="0.25">
      <c r="A24" s="2" t="s">
        <v>66</v>
      </c>
      <c r="B24" s="5">
        <v>45663</v>
      </c>
      <c r="C24" s="2" t="s">
        <v>67</v>
      </c>
      <c r="D24" s="2" t="s">
        <v>8</v>
      </c>
      <c r="E24" s="2">
        <v>12934</v>
      </c>
      <c r="F24" s="2">
        <v>4</v>
      </c>
      <c r="G24" s="2">
        <v>51736</v>
      </c>
      <c r="H24" s="2" t="s">
        <v>10</v>
      </c>
      <c r="I24" s="2" t="s">
        <v>12</v>
      </c>
      <c r="J24" s="2">
        <v>7.7</v>
      </c>
      <c r="K24" s="2" t="s">
        <v>49</v>
      </c>
      <c r="L24" s="2">
        <v>10900</v>
      </c>
      <c r="M24" s="2">
        <v>40836</v>
      </c>
    </row>
    <row r="25" spans="1:13" x14ac:dyDescent="0.25">
      <c r="A25" s="2" t="s">
        <v>68</v>
      </c>
      <c r="B25" s="5">
        <v>45866</v>
      </c>
      <c r="C25" s="2" t="s">
        <v>43</v>
      </c>
      <c r="D25" s="2" t="s">
        <v>23</v>
      </c>
      <c r="E25" s="2">
        <v>9122</v>
      </c>
      <c r="F25" s="2">
        <v>1</v>
      </c>
      <c r="G25" s="2">
        <v>9122</v>
      </c>
      <c r="H25" s="2" t="s">
        <v>24</v>
      </c>
      <c r="I25" s="2" t="s">
        <v>25</v>
      </c>
      <c r="J25" s="2">
        <v>0</v>
      </c>
      <c r="K25" s="2" t="s">
        <v>26</v>
      </c>
      <c r="L25" s="2">
        <v>1304</v>
      </c>
      <c r="M25" s="2">
        <v>0</v>
      </c>
    </row>
    <row r="26" spans="1:13" x14ac:dyDescent="0.25">
      <c r="A26" s="2" t="s">
        <v>69</v>
      </c>
      <c r="B26" s="5">
        <v>45837</v>
      </c>
      <c r="C26" s="2" t="s">
        <v>28</v>
      </c>
      <c r="D26" s="2" t="s">
        <v>34</v>
      </c>
      <c r="E26" s="2">
        <v>8670</v>
      </c>
      <c r="F26" s="2">
        <v>4</v>
      </c>
      <c r="G26" s="2">
        <v>34680</v>
      </c>
      <c r="H26" s="2" t="s">
        <v>10</v>
      </c>
      <c r="I26" s="2" t="s">
        <v>9</v>
      </c>
      <c r="J26" s="2">
        <v>9.3000000000000007</v>
      </c>
      <c r="K26" s="2" t="s">
        <v>31</v>
      </c>
      <c r="L26" s="2">
        <v>9195</v>
      </c>
      <c r="M26" s="2">
        <v>25485</v>
      </c>
    </row>
    <row r="27" spans="1:13" x14ac:dyDescent="0.25">
      <c r="A27" s="2" t="s">
        <v>70</v>
      </c>
      <c r="B27" s="5">
        <v>45709</v>
      </c>
      <c r="C27" s="2" t="s">
        <v>47</v>
      </c>
      <c r="D27" s="2" t="s">
        <v>8</v>
      </c>
      <c r="E27" s="2">
        <v>12846</v>
      </c>
      <c r="F27" s="2">
        <v>5</v>
      </c>
      <c r="G27" s="2">
        <v>64230</v>
      </c>
      <c r="H27" s="2" t="s">
        <v>11</v>
      </c>
      <c r="I27" s="2" t="s">
        <v>9</v>
      </c>
      <c r="J27" s="2">
        <v>0</v>
      </c>
      <c r="K27" s="2" t="s">
        <v>31</v>
      </c>
      <c r="L27" s="2">
        <v>1956</v>
      </c>
      <c r="M27" s="2">
        <v>0</v>
      </c>
    </row>
    <row r="28" spans="1:13" x14ac:dyDescent="0.25">
      <c r="A28" s="2" t="s">
        <v>71</v>
      </c>
      <c r="B28" s="5">
        <v>45668</v>
      </c>
      <c r="C28" s="2" t="s">
        <v>67</v>
      </c>
      <c r="D28" s="2" t="s">
        <v>8</v>
      </c>
      <c r="E28" s="2">
        <v>12894</v>
      </c>
      <c r="F28" s="2">
        <v>5</v>
      </c>
      <c r="G28" s="2">
        <v>64470</v>
      </c>
      <c r="H28" s="2" t="s">
        <v>10</v>
      </c>
      <c r="I28" s="2" t="s">
        <v>9</v>
      </c>
      <c r="J28" s="2">
        <v>9.1</v>
      </c>
      <c r="K28" s="2" t="s">
        <v>54</v>
      </c>
      <c r="L28" s="2">
        <v>7344</v>
      </c>
      <c r="M28" s="2">
        <v>57126</v>
      </c>
    </row>
    <row r="29" spans="1:13" x14ac:dyDescent="0.25">
      <c r="A29" s="2" t="s">
        <v>72</v>
      </c>
      <c r="B29" s="5">
        <v>45874</v>
      </c>
      <c r="C29" s="2" t="s">
        <v>30</v>
      </c>
      <c r="D29" s="2" t="s">
        <v>40</v>
      </c>
      <c r="E29" s="2">
        <v>5456</v>
      </c>
      <c r="F29" s="2">
        <v>5</v>
      </c>
      <c r="G29" s="2">
        <v>27280</v>
      </c>
      <c r="H29" s="2" t="s">
        <v>10</v>
      </c>
      <c r="I29" s="2" t="s">
        <v>9</v>
      </c>
      <c r="J29" s="2">
        <v>8.5</v>
      </c>
      <c r="K29" s="2" t="s">
        <v>31</v>
      </c>
      <c r="L29" s="2">
        <v>9728</v>
      </c>
      <c r="M29" s="2">
        <v>17552</v>
      </c>
    </row>
    <row r="30" spans="1:13" x14ac:dyDescent="0.25">
      <c r="A30" s="2" t="s">
        <v>73</v>
      </c>
      <c r="B30" s="5">
        <v>45670</v>
      </c>
      <c r="C30" s="2" t="s">
        <v>67</v>
      </c>
      <c r="D30" s="2" t="s">
        <v>34</v>
      </c>
      <c r="E30" s="2">
        <v>9456</v>
      </c>
      <c r="F30" s="2">
        <v>4</v>
      </c>
      <c r="G30" s="2">
        <v>37824</v>
      </c>
      <c r="H30" s="2" t="s">
        <v>11</v>
      </c>
      <c r="I30" s="2" t="s">
        <v>41</v>
      </c>
      <c r="J30" s="2">
        <v>0</v>
      </c>
      <c r="K30" s="2" t="s">
        <v>57</v>
      </c>
      <c r="L30" s="2">
        <v>1876</v>
      </c>
      <c r="M30" s="2">
        <v>0</v>
      </c>
    </row>
    <row r="31" spans="1:13" x14ac:dyDescent="0.25">
      <c r="A31" s="2" t="s">
        <v>74</v>
      </c>
      <c r="B31" s="5">
        <v>45852</v>
      </c>
      <c r="C31" s="2" t="s">
        <v>43</v>
      </c>
      <c r="D31" s="2" t="s">
        <v>23</v>
      </c>
      <c r="E31" s="2">
        <v>9754</v>
      </c>
      <c r="F31" s="2">
        <v>1</v>
      </c>
      <c r="G31" s="2">
        <v>9754</v>
      </c>
      <c r="H31" s="2" t="s">
        <v>10</v>
      </c>
      <c r="I31" s="2" t="s">
        <v>25</v>
      </c>
      <c r="J31" s="2">
        <v>9.1</v>
      </c>
      <c r="K31" s="2" t="s">
        <v>75</v>
      </c>
      <c r="L31" s="2">
        <v>10032</v>
      </c>
      <c r="M31" s="2">
        <v>-278</v>
      </c>
    </row>
    <row r="32" spans="1:13" x14ac:dyDescent="0.25">
      <c r="A32" s="2" t="s">
        <v>76</v>
      </c>
      <c r="B32" s="5">
        <v>45775</v>
      </c>
      <c r="C32" s="2" t="s">
        <v>63</v>
      </c>
      <c r="D32" s="2" t="s">
        <v>23</v>
      </c>
      <c r="E32" s="2">
        <v>9231</v>
      </c>
      <c r="F32" s="2">
        <v>1</v>
      </c>
      <c r="G32" s="2">
        <v>9231</v>
      </c>
      <c r="H32" s="2" t="s">
        <v>24</v>
      </c>
      <c r="I32" s="2" t="s">
        <v>9</v>
      </c>
      <c r="J32" s="2">
        <v>0</v>
      </c>
      <c r="K32" s="2" t="s">
        <v>31</v>
      </c>
      <c r="L32" s="2">
        <v>2050</v>
      </c>
      <c r="M32" s="2">
        <v>0</v>
      </c>
    </row>
    <row r="33" spans="1:13" x14ac:dyDescent="0.25">
      <c r="A33" s="2" t="s">
        <v>77</v>
      </c>
      <c r="B33" s="5">
        <v>45896</v>
      </c>
      <c r="C33" s="2" t="s">
        <v>30</v>
      </c>
      <c r="D33" s="2" t="s">
        <v>8</v>
      </c>
      <c r="E33" s="2">
        <v>12914</v>
      </c>
      <c r="F33" s="2">
        <v>5</v>
      </c>
      <c r="G33" s="2">
        <v>64570</v>
      </c>
      <c r="H33" s="2" t="s">
        <v>10</v>
      </c>
      <c r="I33" s="2" t="s">
        <v>9</v>
      </c>
      <c r="J33" s="2">
        <v>9.6</v>
      </c>
      <c r="K33" s="2" t="s">
        <v>35</v>
      </c>
      <c r="L33" s="2">
        <v>10438</v>
      </c>
      <c r="M33" s="2">
        <v>54132</v>
      </c>
    </row>
    <row r="34" spans="1:13" x14ac:dyDescent="0.25">
      <c r="A34" s="2" t="s">
        <v>78</v>
      </c>
      <c r="B34" s="5">
        <v>45863</v>
      </c>
      <c r="C34" s="2" t="s">
        <v>43</v>
      </c>
      <c r="D34" s="2" t="s">
        <v>7</v>
      </c>
      <c r="E34" s="2">
        <v>7387</v>
      </c>
      <c r="F34" s="2">
        <v>1</v>
      </c>
      <c r="G34" s="2">
        <v>7387</v>
      </c>
      <c r="H34" s="2" t="s">
        <v>11</v>
      </c>
      <c r="I34" s="2" t="s">
        <v>9</v>
      </c>
      <c r="J34" s="2">
        <v>0</v>
      </c>
      <c r="K34" s="2" t="s">
        <v>57</v>
      </c>
      <c r="L34" s="2">
        <v>1266</v>
      </c>
      <c r="M34" s="2">
        <v>0</v>
      </c>
    </row>
    <row r="35" spans="1:13" x14ac:dyDescent="0.25">
      <c r="A35" s="2" t="s">
        <v>79</v>
      </c>
      <c r="B35" s="5">
        <v>45879</v>
      </c>
      <c r="C35" s="2" t="s">
        <v>30</v>
      </c>
      <c r="D35" s="2" t="s">
        <v>8</v>
      </c>
      <c r="E35" s="2">
        <v>12477</v>
      </c>
      <c r="F35" s="2">
        <v>2</v>
      </c>
      <c r="G35" s="2">
        <v>24954</v>
      </c>
      <c r="H35" s="2" t="s">
        <v>10</v>
      </c>
      <c r="I35" s="2" t="s">
        <v>25</v>
      </c>
      <c r="J35" s="2">
        <v>9.1999999999999993</v>
      </c>
      <c r="K35" s="2" t="s">
        <v>80</v>
      </c>
      <c r="L35" s="2">
        <v>10634</v>
      </c>
      <c r="M35" s="2">
        <v>14320</v>
      </c>
    </row>
    <row r="36" spans="1:13" x14ac:dyDescent="0.25">
      <c r="A36" s="2" t="s">
        <v>81</v>
      </c>
      <c r="B36" s="5">
        <v>45706</v>
      </c>
      <c r="C36" s="2" t="s">
        <v>47</v>
      </c>
      <c r="D36" s="2" t="s">
        <v>7</v>
      </c>
      <c r="E36" s="2">
        <v>7218</v>
      </c>
      <c r="F36" s="2">
        <v>5</v>
      </c>
      <c r="G36" s="2">
        <v>36090</v>
      </c>
      <c r="H36" s="2" t="s">
        <v>10</v>
      </c>
      <c r="I36" s="2" t="s">
        <v>9</v>
      </c>
      <c r="J36" s="2">
        <v>7.9</v>
      </c>
      <c r="K36" s="2" t="s">
        <v>57</v>
      </c>
      <c r="L36" s="2">
        <v>10074</v>
      </c>
      <c r="M36" s="2">
        <v>26016</v>
      </c>
    </row>
    <row r="37" spans="1:13" x14ac:dyDescent="0.25">
      <c r="A37" s="2" t="s">
        <v>82</v>
      </c>
      <c r="B37" s="5">
        <v>45771</v>
      </c>
      <c r="C37" s="2" t="s">
        <v>63</v>
      </c>
      <c r="D37" s="2" t="s">
        <v>8</v>
      </c>
      <c r="E37" s="2">
        <v>12100</v>
      </c>
      <c r="F37" s="2">
        <v>3</v>
      </c>
      <c r="G37" s="2">
        <v>36300</v>
      </c>
      <c r="H37" s="2" t="s">
        <v>10</v>
      </c>
      <c r="I37" s="2" t="s">
        <v>41</v>
      </c>
      <c r="J37" s="2">
        <v>8.3000000000000007</v>
      </c>
      <c r="K37" s="2" t="s">
        <v>57</v>
      </c>
      <c r="L37" s="2">
        <v>8289</v>
      </c>
      <c r="M37" s="2">
        <v>28011</v>
      </c>
    </row>
    <row r="38" spans="1:13" x14ac:dyDescent="0.25">
      <c r="A38" s="2" t="s">
        <v>83</v>
      </c>
      <c r="B38" s="5">
        <v>45962</v>
      </c>
      <c r="C38" s="2" t="s">
        <v>84</v>
      </c>
      <c r="D38" s="2" t="s">
        <v>40</v>
      </c>
      <c r="E38" s="2">
        <v>5428</v>
      </c>
      <c r="F38" s="2">
        <v>3</v>
      </c>
      <c r="G38" s="2">
        <v>16284</v>
      </c>
      <c r="H38" s="2" t="s">
        <v>10</v>
      </c>
      <c r="I38" s="2" t="s">
        <v>25</v>
      </c>
      <c r="J38" s="2">
        <v>9.5</v>
      </c>
      <c r="K38" s="2" t="s">
        <v>80</v>
      </c>
      <c r="L38" s="2">
        <v>9464</v>
      </c>
      <c r="M38" s="2">
        <v>6820</v>
      </c>
    </row>
    <row r="39" spans="1:13" x14ac:dyDescent="0.25">
      <c r="A39" s="2" t="s">
        <v>85</v>
      </c>
      <c r="B39" s="5">
        <v>45927</v>
      </c>
      <c r="C39" s="2" t="s">
        <v>22</v>
      </c>
      <c r="D39" s="2" t="s">
        <v>7</v>
      </c>
      <c r="E39" s="2">
        <v>7612</v>
      </c>
      <c r="F39" s="2">
        <v>1</v>
      </c>
      <c r="G39" s="2">
        <v>7612</v>
      </c>
      <c r="H39" s="2" t="s">
        <v>10</v>
      </c>
      <c r="I39" s="2" t="s">
        <v>12</v>
      </c>
      <c r="J39" s="2">
        <v>8.1</v>
      </c>
      <c r="K39" s="2" t="s">
        <v>80</v>
      </c>
      <c r="L39" s="2">
        <v>7880</v>
      </c>
      <c r="M39" s="2">
        <v>-268</v>
      </c>
    </row>
    <row r="40" spans="1:13" x14ac:dyDescent="0.25">
      <c r="A40" s="2" t="s">
        <v>86</v>
      </c>
      <c r="B40" s="5">
        <v>45722</v>
      </c>
      <c r="C40" s="2" t="s">
        <v>39</v>
      </c>
      <c r="D40" s="2" t="s">
        <v>8</v>
      </c>
      <c r="E40" s="2">
        <v>12003</v>
      </c>
      <c r="F40" s="2">
        <v>5</v>
      </c>
      <c r="G40" s="2">
        <v>60015</v>
      </c>
      <c r="H40" s="2" t="s">
        <v>10</v>
      </c>
      <c r="I40" s="2" t="s">
        <v>9</v>
      </c>
      <c r="J40" s="2">
        <v>7.3</v>
      </c>
      <c r="K40" s="2" t="s">
        <v>44</v>
      </c>
      <c r="L40" s="2">
        <v>7008</v>
      </c>
      <c r="M40" s="2">
        <v>53007</v>
      </c>
    </row>
    <row r="41" spans="1:13" x14ac:dyDescent="0.25">
      <c r="A41" s="2" t="s">
        <v>87</v>
      </c>
      <c r="B41" s="5">
        <v>45839</v>
      </c>
      <c r="C41" s="2" t="s">
        <v>43</v>
      </c>
      <c r="D41" s="2" t="s">
        <v>7</v>
      </c>
      <c r="E41" s="2">
        <v>7586</v>
      </c>
      <c r="F41" s="2">
        <v>5</v>
      </c>
      <c r="G41" s="2">
        <v>37930</v>
      </c>
      <c r="H41" s="2" t="s">
        <v>11</v>
      </c>
      <c r="I41" s="2" t="s">
        <v>12</v>
      </c>
      <c r="J41" s="2">
        <v>0</v>
      </c>
      <c r="K41" s="2" t="s">
        <v>44</v>
      </c>
      <c r="L41" s="2">
        <v>1517</v>
      </c>
      <c r="M41" s="2">
        <v>0</v>
      </c>
    </row>
    <row r="42" spans="1:13" x14ac:dyDescent="0.25">
      <c r="A42" s="2" t="s">
        <v>88</v>
      </c>
      <c r="B42" s="5">
        <v>45862</v>
      </c>
      <c r="C42" s="2" t="s">
        <v>43</v>
      </c>
      <c r="D42" s="2" t="s">
        <v>8</v>
      </c>
      <c r="E42" s="2">
        <v>12181</v>
      </c>
      <c r="F42" s="2">
        <v>2</v>
      </c>
      <c r="G42" s="2">
        <v>24362</v>
      </c>
      <c r="H42" s="2" t="s">
        <v>10</v>
      </c>
      <c r="I42" s="2" t="s">
        <v>25</v>
      </c>
      <c r="J42" s="2">
        <v>8.8000000000000007</v>
      </c>
      <c r="K42" s="2" t="s">
        <v>49</v>
      </c>
      <c r="L42" s="2">
        <v>8968</v>
      </c>
      <c r="M42" s="2">
        <v>15394</v>
      </c>
    </row>
    <row r="43" spans="1:13" x14ac:dyDescent="0.25">
      <c r="A43" s="2" t="s">
        <v>89</v>
      </c>
      <c r="B43" s="5">
        <v>45663</v>
      </c>
      <c r="C43" s="2" t="s">
        <v>67</v>
      </c>
      <c r="D43" s="2" t="s">
        <v>34</v>
      </c>
      <c r="E43" s="2">
        <v>8902</v>
      </c>
      <c r="F43" s="2">
        <v>4</v>
      </c>
      <c r="G43" s="2">
        <v>35608</v>
      </c>
      <c r="H43" s="2" t="s">
        <v>11</v>
      </c>
      <c r="I43" s="2" t="s">
        <v>12</v>
      </c>
      <c r="J43" s="2">
        <v>0</v>
      </c>
      <c r="K43" s="2" t="s">
        <v>37</v>
      </c>
      <c r="L43" s="2">
        <v>2505</v>
      </c>
      <c r="M43" s="2">
        <v>0</v>
      </c>
    </row>
    <row r="44" spans="1:13" x14ac:dyDescent="0.25">
      <c r="A44" s="2" t="s">
        <v>90</v>
      </c>
      <c r="B44" s="5">
        <v>45760</v>
      </c>
      <c r="C44" s="2" t="s">
        <v>63</v>
      </c>
      <c r="D44" s="2" t="s">
        <v>7</v>
      </c>
      <c r="E44" s="2">
        <v>7491</v>
      </c>
      <c r="F44" s="2">
        <v>3</v>
      </c>
      <c r="G44" s="2">
        <v>22473</v>
      </c>
      <c r="H44" s="2" t="s">
        <v>11</v>
      </c>
      <c r="I44" s="2" t="s">
        <v>9</v>
      </c>
      <c r="J44" s="2">
        <v>0</v>
      </c>
      <c r="K44" s="2" t="s">
        <v>80</v>
      </c>
      <c r="L44" s="2">
        <v>2784</v>
      </c>
      <c r="M44" s="2">
        <v>0</v>
      </c>
    </row>
    <row r="45" spans="1:13" x14ac:dyDescent="0.25">
      <c r="A45" s="2" t="s">
        <v>91</v>
      </c>
      <c r="B45" s="5">
        <v>45713</v>
      </c>
      <c r="C45" s="2" t="s">
        <v>47</v>
      </c>
      <c r="D45" s="2" t="s">
        <v>40</v>
      </c>
      <c r="E45" s="2">
        <v>5013</v>
      </c>
      <c r="F45" s="2">
        <v>3</v>
      </c>
      <c r="G45" s="2">
        <v>15039</v>
      </c>
      <c r="H45" s="2" t="s">
        <v>10</v>
      </c>
      <c r="I45" s="2" t="s">
        <v>9</v>
      </c>
      <c r="J45" s="2">
        <v>8.3000000000000007</v>
      </c>
      <c r="K45" s="2" t="s">
        <v>35</v>
      </c>
      <c r="L45" s="2">
        <v>7743</v>
      </c>
      <c r="M45" s="2">
        <v>7296</v>
      </c>
    </row>
    <row r="46" spans="1:13" x14ac:dyDescent="0.25">
      <c r="A46" s="2" t="s">
        <v>92</v>
      </c>
      <c r="B46" s="5">
        <v>45699</v>
      </c>
      <c r="C46" s="2" t="s">
        <v>47</v>
      </c>
      <c r="D46" s="2" t="s">
        <v>7</v>
      </c>
      <c r="E46" s="2">
        <v>7122</v>
      </c>
      <c r="F46" s="2">
        <v>1</v>
      </c>
      <c r="G46" s="2">
        <v>7122</v>
      </c>
      <c r="H46" s="2" t="s">
        <v>10</v>
      </c>
      <c r="I46" s="2" t="s">
        <v>9</v>
      </c>
      <c r="J46" s="2">
        <v>7.8</v>
      </c>
      <c r="K46" s="2" t="s">
        <v>26</v>
      </c>
      <c r="L46" s="2">
        <v>9456</v>
      </c>
      <c r="M46" s="2">
        <v>-2334</v>
      </c>
    </row>
    <row r="47" spans="1:13" x14ac:dyDescent="0.25">
      <c r="A47" s="2" t="s">
        <v>93</v>
      </c>
      <c r="B47" s="5">
        <v>45674</v>
      </c>
      <c r="C47" s="2" t="s">
        <v>67</v>
      </c>
      <c r="D47" s="2" t="s">
        <v>23</v>
      </c>
      <c r="E47" s="2">
        <v>9470</v>
      </c>
      <c r="F47" s="2">
        <v>1</v>
      </c>
      <c r="G47" s="2">
        <v>9470</v>
      </c>
      <c r="H47" s="2" t="s">
        <v>10</v>
      </c>
      <c r="I47" s="2" t="s">
        <v>41</v>
      </c>
      <c r="J47" s="2">
        <v>8.1999999999999993</v>
      </c>
      <c r="K47" s="2" t="s">
        <v>35</v>
      </c>
      <c r="L47" s="2">
        <v>10823</v>
      </c>
      <c r="M47" s="2">
        <v>-1353</v>
      </c>
    </row>
    <row r="48" spans="1:13" x14ac:dyDescent="0.25">
      <c r="A48" s="2" t="s">
        <v>94</v>
      </c>
      <c r="B48" s="5">
        <v>45977</v>
      </c>
      <c r="C48" s="2" t="s">
        <v>84</v>
      </c>
      <c r="D48" s="2" t="s">
        <v>8</v>
      </c>
      <c r="E48" s="2">
        <v>12477</v>
      </c>
      <c r="F48" s="2">
        <v>4</v>
      </c>
      <c r="G48" s="2">
        <v>49908</v>
      </c>
      <c r="H48" s="2" t="s">
        <v>10</v>
      </c>
      <c r="I48" s="2" t="s">
        <v>41</v>
      </c>
      <c r="J48" s="2">
        <v>9.4</v>
      </c>
      <c r="K48" s="2" t="s">
        <v>75</v>
      </c>
      <c r="L48" s="2">
        <v>10773</v>
      </c>
      <c r="M48" s="2">
        <v>39135</v>
      </c>
    </row>
    <row r="49" spans="1:13" x14ac:dyDescent="0.25">
      <c r="A49" s="2" t="s">
        <v>95</v>
      </c>
      <c r="B49" s="5">
        <v>45930</v>
      </c>
      <c r="C49" s="2" t="s">
        <v>22</v>
      </c>
      <c r="D49" s="2" t="s">
        <v>8</v>
      </c>
      <c r="E49" s="2">
        <v>12504</v>
      </c>
      <c r="F49" s="2">
        <v>5</v>
      </c>
      <c r="G49" s="2">
        <v>62520</v>
      </c>
      <c r="H49" s="2" t="s">
        <v>10</v>
      </c>
      <c r="I49" s="2" t="s">
        <v>12</v>
      </c>
      <c r="J49" s="2">
        <v>6.9</v>
      </c>
      <c r="K49" s="2" t="s">
        <v>35</v>
      </c>
      <c r="L49" s="2">
        <v>8127</v>
      </c>
      <c r="M49" s="2">
        <v>54393</v>
      </c>
    </row>
    <row r="50" spans="1:13" x14ac:dyDescent="0.25">
      <c r="A50" s="2" t="s">
        <v>96</v>
      </c>
      <c r="B50" s="5">
        <v>45937</v>
      </c>
      <c r="C50" s="2" t="s">
        <v>33</v>
      </c>
      <c r="D50" s="2" t="s">
        <v>7</v>
      </c>
      <c r="E50" s="2">
        <v>7063</v>
      </c>
      <c r="F50" s="2">
        <v>2</v>
      </c>
      <c r="G50" s="2">
        <v>14126</v>
      </c>
      <c r="H50" s="2" t="s">
        <v>10</v>
      </c>
      <c r="I50" s="2" t="s">
        <v>25</v>
      </c>
      <c r="J50" s="2">
        <v>9.8000000000000007</v>
      </c>
      <c r="K50" s="2" t="s">
        <v>35</v>
      </c>
      <c r="L50" s="2">
        <v>9985</v>
      </c>
      <c r="M50" s="2">
        <v>4141</v>
      </c>
    </row>
    <row r="51" spans="1:13" x14ac:dyDescent="0.25">
      <c r="A51" s="2" t="s">
        <v>97</v>
      </c>
      <c r="B51" s="5">
        <v>45775</v>
      </c>
      <c r="C51" s="2" t="s">
        <v>63</v>
      </c>
      <c r="D51" s="2" t="s">
        <v>40</v>
      </c>
      <c r="E51" s="2">
        <v>5723</v>
      </c>
      <c r="F51" s="2">
        <v>3</v>
      </c>
      <c r="G51" s="2">
        <v>17169</v>
      </c>
      <c r="H51" s="2" t="s">
        <v>10</v>
      </c>
      <c r="I51" s="2" t="s">
        <v>41</v>
      </c>
      <c r="J51" s="2">
        <v>8.6</v>
      </c>
      <c r="K51" s="2" t="s">
        <v>49</v>
      </c>
      <c r="L51" s="2">
        <v>8677</v>
      </c>
      <c r="M51" s="2">
        <v>8492</v>
      </c>
    </row>
    <row r="52" spans="1:13" x14ac:dyDescent="0.25">
      <c r="A52" s="2" t="s">
        <v>98</v>
      </c>
      <c r="B52" s="5">
        <v>45792</v>
      </c>
      <c r="C52" s="2" t="s">
        <v>52</v>
      </c>
      <c r="D52" s="2" t="s">
        <v>23</v>
      </c>
      <c r="E52" s="2">
        <v>9883</v>
      </c>
      <c r="F52" s="2">
        <v>3</v>
      </c>
      <c r="G52" s="2">
        <v>29649</v>
      </c>
      <c r="H52" s="2" t="s">
        <v>10</v>
      </c>
      <c r="I52" s="2" t="s">
        <v>9</v>
      </c>
      <c r="J52" s="2">
        <v>9.5</v>
      </c>
      <c r="K52" s="2" t="s">
        <v>57</v>
      </c>
      <c r="L52" s="2">
        <v>10201</v>
      </c>
      <c r="M52" s="2">
        <v>19448</v>
      </c>
    </row>
    <row r="53" spans="1:13" x14ac:dyDescent="0.25">
      <c r="A53" s="2" t="s">
        <v>99</v>
      </c>
      <c r="B53" s="5">
        <v>45967</v>
      </c>
      <c r="C53" s="2" t="s">
        <v>84</v>
      </c>
      <c r="D53" s="2" t="s">
        <v>8</v>
      </c>
      <c r="E53" s="2">
        <v>12568</v>
      </c>
      <c r="F53" s="2">
        <v>3</v>
      </c>
      <c r="G53" s="2">
        <v>37704</v>
      </c>
      <c r="H53" s="2" t="s">
        <v>10</v>
      </c>
      <c r="I53" s="2" t="s">
        <v>12</v>
      </c>
      <c r="J53" s="2">
        <v>7.8</v>
      </c>
      <c r="K53" s="2" t="s">
        <v>26</v>
      </c>
      <c r="L53" s="2">
        <v>9643</v>
      </c>
      <c r="M53" s="2">
        <v>28061</v>
      </c>
    </row>
    <row r="54" spans="1:13" x14ac:dyDescent="0.25">
      <c r="A54" s="2" t="s">
        <v>100</v>
      </c>
      <c r="B54" s="5">
        <v>45961</v>
      </c>
      <c r="C54" s="2" t="s">
        <v>33</v>
      </c>
      <c r="D54" s="2" t="s">
        <v>34</v>
      </c>
      <c r="E54" s="2">
        <v>9087</v>
      </c>
      <c r="F54" s="2">
        <v>1</v>
      </c>
      <c r="G54" s="2">
        <v>9087</v>
      </c>
      <c r="H54" s="2" t="s">
        <v>10</v>
      </c>
      <c r="I54" s="2" t="s">
        <v>12</v>
      </c>
      <c r="J54" s="2">
        <v>9.1</v>
      </c>
      <c r="K54" s="2" t="s">
        <v>35</v>
      </c>
      <c r="L54" s="2">
        <v>9396</v>
      </c>
      <c r="M54" s="2">
        <v>-309</v>
      </c>
    </row>
    <row r="55" spans="1:13" x14ac:dyDescent="0.25">
      <c r="A55" s="2" t="s">
        <v>101</v>
      </c>
      <c r="B55" s="5">
        <v>45707</v>
      </c>
      <c r="C55" s="2" t="s">
        <v>47</v>
      </c>
      <c r="D55" s="2" t="s">
        <v>7</v>
      </c>
      <c r="E55" s="2">
        <v>7146</v>
      </c>
      <c r="F55" s="2">
        <v>2</v>
      </c>
      <c r="G55" s="2">
        <v>14292</v>
      </c>
      <c r="H55" s="2" t="s">
        <v>10</v>
      </c>
      <c r="I55" s="2" t="s">
        <v>12</v>
      </c>
      <c r="J55" s="2">
        <v>7.3</v>
      </c>
      <c r="K55" s="2" t="s">
        <v>57</v>
      </c>
      <c r="L55" s="2">
        <v>10109</v>
      </c>
      <c r="M55" s="2">
        <v>4183</v>
      </c>
    </row>
    <row r="56" spans="1:13" x14ac:dyDescent="0.25">
      <c r="A56" s="2" t="s">
        <v>102</v>
      </c>
      <c r="B56" s="5">
        <v>45756</v>
      </c>
      <c r="C56" s="2" t="s">
        <v>63</v>
      </c>
      <c r="D56" s="2" t="s">
        <v>8</v>
      </c>
      <c r="E56" s="2">
        <v>12095</v>
      </c>
      <c r="F56" s="2">
        <v>3</v>
      </c>
      <c r="G56" s="2">
        <v>36285</v>
      </c>
      <c r="H56" s="2" t="s">
        <v>10</v>
      </c>
      <c r="I56" s="2" t="s">
        <v>9</v>
      </c>
      <c r="J56" s="2">
        <v>8.5</v>
      </c>
      <c r="K56" s="2" t="s">
        <v>75</v>
      </c>
      <c r="L56" s="2">
        <v>7685</v>
      </c>
      <c r="M56" s="2">
        <v>28600</v>
      </c>
    </row>
    <row r="57" spans="1:13" x14ac:dyDescent="0.25">
      <c r="A57" s="2" t="s">
        <v>103</v>
      </c>
      <c r="B57" s="5">
        <v>45730</v>
      </c>
      <c r="C57" s="2" t="s">
        <v>39</v>
      </c>
      <c r="D57" s="2" t="s">
        <v>23</v>
      </c>
      <c r="E57" s="2">
        <v>9247</v>
      </c>
      <c r="F57" s="2">
        <v>3</v>
      </c>
      <c r="G57" s="2">
        <v>27741</v>
      </c>
      <c r="H57" s="2" t="s">
        <v>10</v>
      </c>
      <c r="I57" s="2" t="s">
        <v>9</v>
      </c>
      <c r="J57" s="2">
        <v>9.6</v>
      </c>
      <c r="K57" s="2" t="s">
        <v>35</v>
      </c>
      <c r="L57" s="2">
        <v>10406</v>
      </c>
      <c r="M57" s="2">
        <v>17335</v>
      </c>
    </row>
    <row r="58" spans="1:13" x14ac:dyDescent="0.25">
      <c r="A58" s="2" t="s">
        <v>104</v>
      </c>
      <c r="B58" s="5">
        <v>45886</v>
      </c>
      <c r="C58" s="2" t="s">
        <v>30</v>
      </c>
      <c r="D58" s="2" t="s">
        <v>7</v>
      </c>
      <c r="E58" s="2">
        <v>7433</v>
      </c>
      <c r="F58" s="2">
        <v>5</v>
      </c>
      <c r="G58" s="2">
        <v>37165</v>
      </c>
      <c r="H58" s="2" t="s">
        <v>24</v>
      </c>
      <c r="I58" s="2" t="s">
        <v>41</v>
      </c>
      <c r="J58" s="2">
        <v>0</v>
      </c>
      <c r="K58" s="2" t="s">
        <v>35</v>
      </c>
      <c r="L58" s="2">
        <v>1159</v>
      </c>
      <c r="M58" s="2">
        <v>0</v>
      </c>
    </row>
    <row r="59" spans="1:13" x14ac:dyDescent="0.25">
      <c r="A59" s="2" t="s">
        <v>105</v>
      </c>
      <c r="B59" s="5">
        <v>45767</v>
      </c>
      <c r="C59" s="2" t="s">
        <v>63</v>
      </c>
      <c r="D59" s="2" t="s">
        <v>8</v>
      </c>
      <c r="E59" s="2">
        <v>12640</v>
      </c>
      <c r="F59" s="2">
        <v>4</v>
      </c>
      <c r="G59" s="2">
        <v>50560</v>
      </c>
      <c r="H59" s="2" t="s">
        <v>10</v>
      </c>
      <c r="I59" s="2" t="s">
        <v>25</v>
      </c>
      <c r="J59" s="2">
        <v>7.6</v>
      </c>
      <c r="K59" s="2" t="s">
        <v>49</v>
      </c>
      <c r="L59" s="2">
        <v>10909</v>
      </c>
      <c r="M59" s="2">
        <v>39651</v>
      </c>
    </row>
    <row r="60" spans="1:13" x14ac:dyDescent="0.25">
      <c r="A60" s="2" t="s">
        <v>106</v>
      </c>
      <c r="B60" s="5">
        <v>45975</v>
      </c>
      <c r="C60" s="2" t="s">
        <v>84</v>
      </c>
      <c r="D60" s="2" t="s">
        <v>7</v>
      </c>
      <c r="E60" s="2">
        <v>7675</v>
      </c>
      <c r="F60" s="2">
        <v>1</v>
      </c>
      <c r="G60" s="2">
        <v>7675</v>
      </c>
      <c r="H60" s="2" t="s">
        <v>10</v>
      </c>
      <c r="I60" s="2" t="s">
        <v>41</v>
      </c>
      <c r="J60" s="2">
        <v>7</v>
      </c>
      <c r="K60" s="2" t="s">
        <v>37</v>
      </c>
      <c r="L60" s="2">
        <v>8804</v>
      </c>
      <c r="M60" s="2">
        <v>-1129</v>
      </c>
    </row>
    <row r="61" spans="1:13" x14ac:dyDescent="0.25">
      <c r="A61" s="2" t="s">
        <v>107</v>
      </c>
      <c r="B61" s="5">
        <v>45760</v>
      </c>
      <c r="C61" s="2" t="s">
        <v>63</v>
      </c>
      <c r="D61" s="2" t="s">
        <v>34</v>
      </c>
      <c r="E61" s="2">
        <v>9075</v>
      </c>
      <c r="F61" s="2">
        <v>2</v>
      </c>
      <c r="G61" s="2">
        <v>18150</v>
      </c>
      <c r="H61" s="2" t="s">
        <v>10</v>
      </c>
      <c r="I61" s="2" t="s">
        <v>25</v>
      </c>
      <c r="J61" s="2">
        <v>7.1</v>
      </c>
      <c r="K61" s="2" t="s">
        <v>31</v>
      </c>
      <c r="L61" s="2">
        <v>9948</v>
      </c>
      <c r="M61" s="2">
        <v>8202</v>
      </c>
    </row>
    <row r="62" spans="1:13" x14ac:dyDescent="0.25">
      <c r="A62" s="2" t="s">
        <v>108</v>
      </c>
      <c r="B62" s="5">
        <v>45854</v>
      </c>
      <c r="C62" s="2" t="s">
        <v>43</v>
      </c>
      <c r="D62" s="2" t="s">
        <v>8</v>
      </c>
      <c r="E62" s="2">
        <v>12614</v>
      </c>
      <c r="F62" s="2">
        <v>2</v>
      </c>
      <c r="G62" s="2">
        <v>25228</v>
      </c>
      <c r="H62" s="2" t="s">
        <v>10</v>
      </c>
      <c r="I62" s="2" t="s">
        <v>25</v>
      </c>
      <c r="J62" s="2">
        <v>8.3000000000000007</v>
      </c>
      <c r="K62" s="2" t="s">
        <v>57</v>
      </c>
      <c r="L62" s="2">
        <v>7873</v>
      </c>
      <c r="M62" s="2">
        <v>17355</v>
      </c>
    </row>
    <row r="63" spans="1:13" x14ac:dyDescent="0.25">
      <c r="A63" s="2" t="s">
        <v>109</v>
      </c>
      <c r="B63" s="5">
        <v>45708</v>
      </c>
      <c r="C63" s="2" t="s">
        <v>47</v>
      </c>
      <c r="D63" s="2" t="s">
        <v>34</v>
      </c>
      <c r="E63" s="2">
        <v>9467</v>
      </c>
      <c r="F63" s="2">
        <v>1</v>
      </c>
      <c r="G63" s="2">
        <v>9467</v>
      </c>
      <c r="H63" s="2" t="s">
        <v>10</v>
      </c>
      <c r="I63" s="2" t="s">
        <v>41</v>
      </c>
      <c r="J63" s="2">
        <v>9.4</v>
      </c>
      <c r="K63" s="2" t="s">
        <v>80</v>
      </c>
      <c r="L63" s="2">
        <v>7387</v>
      </c>
      <c r="M63" s="2">
        <v>2080</v>
      </c>
    </row>
    <row r="64" spans="1:13" x14ac:dyDescent="0.25">
      <c r="A64" s="2" t="s">
        <v>110</v>
      </c>
      <c r="B64" s="5">
        <v>45734</v>
      </c>
      <c r="C64" s="2" t="s">
        <v>39</v>
      </c>
      <c r="D64" s="2" t="s">
        <v>7</v>
      </c>
      <c r="E64" s="2">
        <v>7102</v>
      </c>
      <c r="F64" s="2">
        <v>3</v>
      </c>
      <c r="G64" s="2">
        <v>21306</v>
      </c>
      <c r="H64" s="2" t="s">
        <v>11</v>
      </c>
      <c r="I64" s="2" t="s">
        <v>25</v>
      </c>
      <c r="J64" s="2">
        <v>0</v>
      </c>
      <c r="K64" s="2" t="s">
        <v>35</v>
      </c>
      <c r="L64" s="2">
        <v>2585</v>
      </c>
      <c r="M64" s="2">
        <v>0</v>
      </c>
    </row>
    <row r="65" spans="1:13" x14ac:dyDescent="0.25">
      <c r="A65" s="2" t="s">
        <v>111</v>
      </c>
      <c r="B65" s="5">
        <v>45755</v>
      </c>
      <c r="C65" s="2" t="s">
        <v>63</v>
      </c>
      <c r="D65" s="2" t="s">
        <v>34</v>
      </c>
      <c r="E65" s="2">
        <v>8912</v>
      </c>
      <c r="F65" s="2">
        <v>5</v>
      </c>
      <c r="G65" s="2">
        <v>44560</v>
      </c>
      <c r="H65" s="2" t="s">
        <v>10</v>
      </c>
      <c r="I65" s="2" t="s">
        <v>25</v>
      </c>
      <c r="J65" s="2">
        <v>6.9</v>
      </c>
      <c r="K65" s="2" t="s">
        <v>75</v>
      </c>
      <c r="L65" s="2">
        <v>9264</v>
      </c>
      <c r="M65" s="2">
        <v>35296</v>
      </c>
    </row>
    <row r="66" spans="1:13" x14ac:dyDescent="0.25">
      <c r="A66" s="2" t="s">
        <v>112</v>
      </c>
      <c r="B66" s="5">
        <v>45782</v>
      </c>
      <c r="C66" s="2" t="s">
        <v>52</v>
      </c>
      <c r="D66" s="2" t="s">
        <v>34</v>
      </c>
      <c r="E66" s="2">
        <v>8717</v>
      </c>
      <c r="F66" s="2">
        <v>5</v>
      </c>
      <c r="G66" s="2">
        <v>43585</v>
      </c>
      <c r="H66" s="2" t="s">
        <v>24</v>
      </c>
      <c r="I66" s="2" t="s">
        <v>12</v>
      </c>
      <c r="J66" s="2">
        <v>0</v>
      </c>
      <c r="K66" s="2" t="s">
        <v>35</v>
      </c>
      <c r="L66" s="2">
        <v>1701</v>
      </c>
      <c r="M66" s="2">
        <v>0</v>
      </c>
    </row>
    <row r="67" spans="1:13" x14ac:dyDescent="0.25">
      <c r="A67" s="2" t="s">
        <v>113</v>
      </c>
      <c r="B67" s="5">
        <v>45748</v>
      </c>
      <c r="C67" s="2" t="s">
        <v>63</v>
      </c>
      <c r="D67" s="2" t="s">
        <v>7</v>
      </c>
      <c r="E67" s="2">
        <v>7630</v>
      </c>
      <c r="F67" s="2">
        <v>4</v>
      </c>
      <c r="G67" s="2">
        <v>30520</v>
      </c>
      <c r="H67" s="2" t="s">
        <v>10</v>
      </c>
      <c r="I67" s="2" t="s">
        <v>9</v>
      </c>
      <c r="J67" s="2">
        <v>7.3</v>
      </c>
      <c r="K67" s="2" t="s">
        <v>37</v>
      </c>
      <c r="L67" s="2">
        <v>8932</v>
      </c>
      <c r="M67" s="2">
        <v>21588</v>
      </c>
    </row>
    <row r="68" spans="1:13" x14ac:dyDescent="0.25">
      <c r="A68" s="2" t="s">
        <v>114</v>
      </c>
      <c r="B68" s="5">
        <v>45672</v>
      </c>
      <c r="C68" s="2" t="s">
        <v>67</v>
      </c>
      <c r="D68" s="2" t="s">
        <v>23</v>
      </c>
      <c r="E68" s="2">
        <v>9702</v>
      </c>
      <c r="F68" s="2">
        <v>2</v>
      </c>
      <c r="G68" s="2">
        <v>19404</v>
      </c>
      <c r="H68" s="2" t="s">
        <v>10</v>
      </c>
      <c r="I68" s="2" t="s">
        <v>12</v>
      </c>
      <c r="J68" s="2">
        <v>6.9</v>
      </c>
      <c r="K68" s="2" t="s">
        <v>31</v>
      </c>
      <c r="L68" s="2">
        <v>7135</v>
      </c>
      <c r="M68" s="2">
        <v>12269</v>
      </c>
    </row>
    <row r="69" spans="1:13" x14ac:dyDescent="0.25">
      <c r="A69" s="2" t="s">
        <v>115</v>
      </c>
      <c r="B69" s="5">
        <v>45740</v>
      </c>
      <c r="C69" s="2" t="s">
        <v>39</v>
      </c>
      <c r="D69" s="2" t="s">
        <v>34</v>
      </c>
      <c r="E69" s="2">
        <v>8807</v>
      </c>
      <c r="F69" s="2">
        <v>5</v>
      </c>
      <c r="G69" s="2">
        <v>44035</v>
      </c>
      <c r="H69" s="2" t="s">
        <v>10</v>
      </c>
      <c r="I69" s="2" t="s">
        <v>25</v>
      </c>
      <c r="J69" s="2">
        <v>6.7</v>
      </c>
      <c r="K69" s="2" t="s">
        <v>37</v>
      </c>
      <c r="L69" s="2">
        <v>10818</v>
      </c>
      <c r="M69" s="2">
        <v>33217</v>
      </c>
    </row>
    <row r="70" spans="1:13" x14ac:dyDescent="0.25">
      <c r="A70" s="2" t="s">
        <v>116</v>
      </c>
      <c r="B70" s="5">
        <v>45720</v>
      </c>
      <c r="C70" s="2" t="s">
        <v>39</v>
      </c>
      <c r="D70" s="2" t="s">
        <v>8</v>
      </c>
      <c r="E70" s="2">
        <v>12182</v>
      </c>
      <c r="F70" s="2">
        <v>5</v>
      </c>
      <c r="G70" s="2">
        <v>60910</v>
      </c>
      <c r="H70" s="2" t="s">
        <v>10</v>
      </c>
      <c r="I70" s="2" t="s">
        <v>25</v>
      </c>
      <c r="J70" s="2">
        <v>7.2</v>
      </c>
      <c r="K70" s="2" t="s">
        <v>26</v>
      </c>
      <c r="L70" s="2">
        <v>8179</v>
      </c>
      <c r="M70" s="2">
        <v>52731</v>
      </c>
    </row>
    <row r="71" spans="1:13" x14ac:dyDescent="0.25">
      <c r="A71" s="2" t="s">
        <v>117</v>
      </c>
      <c r="B71" s="5">
        <v>45791</v>
      </c>
      <c r="C71" s="2" t="s">
        <v>52</v>
      </c>
      <c r="D71" s="2" t="s">
        <v>34</v>
      </c>
      <c r="E71" s="2">
        <v>8922</v>
      </c>
      <c r="F71" s="2">
        <v>1</v>
      </c>
      <c r="G71" s="2">
        <v>8922</v>
      </c>
      <c r="H71" s="2" t="s">
        <v>10</v>
      </c>
      <c r="I71" s="2" t="s">
        <v>9</v>
      </c>
      <c r="J71" s="2">
        <v>9.8000000000000007</v>
      </c>
      <c r="K71" s="2" t="s">
        <v>44</v>
      </c>
      <c r="L71" s="2">
        <v>10203</v>
      </c>
      <c r="M71" s="2">
        <v>-1281</v>
      </c>
    </row>
    <row r="72" spans="1:13" x14ac:dyDescent="0.25">
      <c r="A72" s="2" t="s">
        <v>118</v>
      </c>
      <c r="B72" s="5">
        <v>45773</v>
      </c>
      <c r="C72" s="2" t="s">
        <v>63</v>
      </c>
      <c r="D72" s="2" t="s">
        <v>7</v>
      </c>
      <c r="E72" s="2">
        <v>7875</v>
      </c>
      <c r="F72" s="2">
        <v>4</v>
      </c>
      <c r="G72" s="2">
        <v>31500</v>
      </c>
      <c r="H72" s="2" t="s">
        <v>10</v>
      </c>
      <c r="I72" s="2" t="s">
        <v>12</v>
      </c>
      <c r="J72" s="2">
        <v>7.4</v>
      </c>
      <c r="K72" s="2" t="s">
        <v>49</v>
      </c>
      <c r="L72" s="2">
        <v>9574</v>
      </c>
      <c r="M72" s="2">
        <v>21926</v>
      </c>
    </row>
    <row r="73" spans="1:13" x14ac:dyDescent="0.25">
      <c r="A73" s="2" t="s">
        <v>119</v>
      </c>
      <c r="B73" s="5">
        <v>45899</v>
      </c>
      <c r="C73" s="2" t="s">
        <v>30</v>
      </c>
      <c r="D73" s="2" t="s">
        <v>40</v>
      </c>
      <c r="E73" s="2">
        <v>5711</v>
      </c>
      <c r="F73" s="2">
        <v>3</v>
      </c>
      <c r="G73" s="2">
        <v>17133</v>
      </c>
      <c r="H73" s="2" t="s">
        <v>10</v>
      </c>
      <c r="I73" s="2" t="s">
        <v>25</v>
      </c>
      <c r="J73" s="2">
        <v>9.6999999999999993</v>
      </c>
      <c r="K73" s="2" t="s">
        <v>26</v>
      </c>
      <c r="L73" s="2">
        <v>7548</v>
      </c>
      <c r="M73" s="2">
        <v>9585</v>
      </c>
    </row>
    <row r="74" spans="1:13" x14ac:dyDescent="0.25">
      <c r="A74" s="2" t="s">
        <v>120</v>
      </c>
      <c r="B74" s="5">
        <v>45781</v>
      </c>
      <c r="C74" s="2" t="s">
        <v>52</v>
      </c>
      <c r="D74" s="2" t="s">
        <v>34</v>
      </c>
      <c r="E74" s="2">
        <v>9320</v>
      </c>
      <c r="F74" s="2">
        <v>2</v>
      </c>
      <c r="G74" s="2">
        <v>18640</v>
      </c>
      <c r="H74" s="2" t="s">
        <v>10</v>
      </c>
      <c r="I74" s="2" t="s">
        <v>25</v>
      </c>
      <c r="J74" s="2">
        <v>7</v>
      </c>
      <c r="K74" s="2" t="s">
        <v>31</v>
      </c>
      <c r="L74" s="2">
        <v>10370</v>
      </c>
      <c r="M74" s="2">
        <v>8270</v>
      </c>
    </row>
    <row r="75" spans="1:13" x14ac:dyDescent="0.25">
      <c r="A75" s="2" t="s">
        <v>121</v>
      </c>
      <c r="B75" s="5">
        <v>45663</v>
      </c>
      <c r="C75" s="2" t="s">
        <v>67</v>
      </c>
      <c r="D75" s="2" t="s">
        <v>8</v>
      </c>
      <c r="E75" s="2">
        <v>12458</v>
      </c>
      <c r="F75" s="2">
        <v>4</v>
      </c>
      <c r="G75" s="2">
        <v>49832</v>
      </c>
      <c r="H75" s="2" t="s">
        <v>10</v>
      </c>
      <c r="I75" s="2" t="s">
        <v>12</v>
      </c>
      <c r="J75" s="2">
        <v>8.6</v>
      </c>
      <c r="K75" s="2" t="s">
        <v>44</v>
      </c>
      <c r="L75" s="2">
        <v>9303</v>
      </c>
      <c r="M75" s="2">
        <v>40529</v>
      </c>
    </row>
    <row r="76" spans="1:13" x14ac:dyDescent="0.25">
      <c r="A76" s="2" t="s">
        <v>122</v>
      </c>
      <c r="B76" s="5">
        <v>45922</v>
      </c>
      <c r="C76" s="2" t="s">
        <v>22</v>
      </c>
      <c r="D76" s="2" t="s">
        <v>8</v>
      </c>
      <c r="E76" s="2">
        <v>12680</v>
      </c>
      <c r="F76" s="2">
        <v>4</v>
      </c>
      <c r="G76" s="2">
        <v>50720</v>
      </c>
      <c r="H76" s="2" t="s">
        <v>10</v>
      </c>
      <c r="I76" s="2" t="s">
        <v>9</v>
      </c>
      <c r="J76" s="2">
        <v>9.1</v>
      </c>
      <c r="K76" s="2" t="s">
        <v>35</v>
      </c>
      <c r="L76" s="2">
        <v>10544</v>
      </c>
      <c r="M76" s="2">
        <v>40176</v>
      </c>
    </row>
    <row r="77" spans="1:13" x14ac:dyDescent="0.25">
      <c r="A77" s="2" t="s">
        <v>123</v>
      </c>
      <c r="B77" s="5">
        <v>45803</v>
      </c>
      <c r="C77" s="2" t="s">
        <v>52</v>
      </c>
      <c r="D77" s="2" t="s">
        <v>23</v>
      </c>
      <c r="E77" s="2">
        <v>9979</v>
      </c>
      <c r="F77" s="2">
        <v>5</v>
      </c>
      <c r="G77" s="2">
        <v>49895</v>
      </c>
      <c r="H77" s="2" t="s">
        <v>10</v>
      </c>
      <c r="I77" s="2" t="s">
        <v>25</v>
      </c>
      <c r="J77" s="2">
        <v>7.4</v>
      </c>
      <c r="K77" s="2" t="s">
        <v>31</v>
      </c>
      <c r="L77" s="2">
        <v>10054</v>
      </c>
      <c r="M77" s="2">
        <v>39841</v>
      </c>
    </row>
    <row r="78" spans="1:13" x14ac:dyDescent="0.25">
      <c r="A78" s="2" t="s">
        <v>124</v>
      </c>
      <c r="B78" s="5">
        <v>45919</v>
      </c>
      <c r="C78" s="2" t="s">
        <v>22</v>
      </c>
      <c r="D78" s="2" t="s">
        <v>40</v>
      </c>
      <c r="E78" s="2">
        <v>5381</v>
      </c>
      <c r="F78" s="2">
        <v>3</v>
      </c>
      <c r="G78" s="2">
        <v>16143</v>
      </c>
      <c r="H78" s="2" t="s">
        <v>10</v>
      </c>
      <c r="I78" s="2" t="s">
        <v>12</v>
      </c>
      <c r="J78" s="2">
        <v>6.6</v>
      </c>
      <c r="K78" s="2" t="s">
        <v>57</v>
      </c>
      <c r="L78" s="2">
        <v>10878</v>
      </c>
      <c r="M78" s="2">
        <v>5265</v>
      </c>
    </row>
    <row r="79" spans="1:13" x14ac:dyDescent="0.25">
      <c r="A79" s="2" t="s">
        <v>125</v>
      </c>
      <c r="B79" s="5">
        <v>45773</v>
      </c>
      <c r="C79" s="2" t="s">
        <v>63</v>
      </c>
      <c r="D79" s="2" t="s">
        <v>40</v>
      </c>
      <c r="E79" s="2">
        <v>5907</v>
      </c>
      <c r="F79" s="2">
        <v>4</v>
      </c>
      <c r="G79" s="2">
        <v>23628</v>
      </c>
      <c r="H79" s="2" t="s">
        <v>24</v>
      </c>
      <c r="I79" s="2" t="s">
        <v>9</v>
      </c>
      <c r="J79" s="2">
        <v>0</v>
      </c>
      <c r="K79" s="2" t="s">
        <v>37</v>
      </c>
      <c r="L79" s="2">
        <v>1241</v>
      </c>
      <c r="M79" s="2">
        <v>0</v>
      </c>
    </row>
    <row r="80" spans="1:13" x14ac:dyDescent="0.25">
      <c r="A80" s="2" t="s">
        <v>126</v>
      </c>
      <c r="B80" s="5">
        <v>45899</v>
      </c>
      <c r="C80" s="2" t="s">
        <v>30</v>
      </c>
      <c r="D80" s="2" t="s">
        <v>34</v>
      </c>
      <c r="E80" s="2">
        <v>8683</v>
      </c>
      <c r="F80" s="2">
        <v>4</v>
      </c>
      <c r="G80" s="2">
        <v>34732</v>
      </c>
      <c r="H80" s="2" t="s">
        <v>10</v>
      </c>
      <c r="I80" s="2" t="s">
        <v>12</v>
      </c>
      <c r="J80" s="2">
        <v>6.7</v>
      </c>
      <c r="K80" s="2" t="s">
        <v>31</v>
      </c>
      <c r="L80" s="2">
        <v>10754</v>
      </c>
      <c r="M80" s="2">
        <v>23978</v>
      </c>
    </row>
    <row r="81" spans="1:13" x14ac:dyDescent="0.25">
      <c r="A81" s="2" t="s">
        <v>127</v>
      </c>
      <c r="B81" s="5">
        <v>45685</v>
      </c>
      <c r="C81" s="2" t="s">
        <v>67</v>
      </c>
      <c r="D81" s="2" t="s">
        <v>7</v>
      </c>
      <c r="E81" s="2">
        <v>7253</v>
      </c>
      <c r="F81" s="2">
        <v>5</v>
      </c>
      <c r="G81" s="2">
        <v>36265</v>
      </c>
      <c r="H81" s="2" t="s">
        <v>10</v>
      </c>
      <c r="I81" s="2" t="s">
        <v>41</v>
      </c>
      <c r="J81" s="2">
        <v>9.6</v>
      </c>
      <c r="K81" s="2" t="s">
        <v>54</v>
      </c>
      <c r="L81" s="2">
        <v>10604</v>
      </c>
      <c r="M81" s="2">
        <v>25661</v>
      </c>
    </row>
    <row r="82" spans="1:13" x14ac:dyDescent="0.25">
      <c r="A82" s="2" t="s">
        <v>128</v>
      </c>
      <c r="B82" s="5">
        <v>45987</v>
      </c>
      <c r="C82" s="2" t="s">
        <v>84</v>
      </c>
      <c r="D82" s="2" t="s">
        <v>34</v>
      </c>
      <c r="E82" s="2">
        <v>9107</v>
      </c>
      <c r="F82" s="2">
        <v>2</v>
      </c>
      <c r="G82" s="2">
        <v>18214</v>
      </c>
      <c r="H82" s="2" t="s">
        <v>10</v>
      </c>
      <c r="I82" s="2" t="s">
        <v>25</v>
      </c>
      <c r="J82" s="2">
        <v>6.5</v>
      </c>
      <c r="K82" s="2" t="s">
        <v>44</v>
      </c>
      <c r="L82" s="2">
        <v>7835</v>
      </c>
      <c r="M82" s="2">
        <v>10379</v>
      </c>
    </row>
    <row r="83" spans="1:13" x14ac:dyDescent="0.25">
      <c r="A83" s="2" t="s">
        <v>129</v>
      </c>
      <c r="B83" s="5">
        <v>45695</v>
      </c>
      <c r="C83" s="2" t="s">
        <v>47</v>
      </c>
      <c r="D83" s="2" t="s">
        <v>7</v>
      </c>
      <c r="E83" s="2">
        <v>7535</v>
      </c>
      <c r="F83" s="2">
        <v>3</v>
      </c>
      <c r="G83" s="2">
        <v>22605</v>
      </c>
      <c r="H83" s="2" t="s">
        <v>10</v>
      </c>
      <c r="I83" s="2" t="s">
        <v>25</v>
      </c>
      <c r="J83" s="2">
        <v>8.5</v>
      </c>
      <c r="K83" s="2" t="s">
        <v>49</v>
      </c>
      <c r="L83" s="2">
        <v>7283</v>
      </c>
      <c r="M83" s="2">
        <v>15322</v>
      </c>
    </row>
    <row r="84" spans="1:13" x14ac:dyDescent="0.25">
      <c r="A84" s="2" t="s">
        <v>130</v>
      </c>
      <c r="B84" s="5">
        <v>45850</v>
      </c>
      <c r="C84" s="2" t="s">
        <v>43</v>
      </c>
      <c r="D84" s="2" t="s">
        <v>40</v>
      </c>
      <c r="E84" s="2">
        <v>5976</v>
      </c>
      <c r="F84" s="2">
        <v>3</v>
      </c>
      <c r="G84" s="2">
        <v>17928</v>
      </c>
      <c r="H84" s="2" t="s">
        <v>10</v>
      </c>
      <c r="I84" s="2" t="s">
        <v>41</v>
      </c>
      <c r="J84" s="2">
        <v>7.5</v>
      </c>
      <c r="K84" s="2" t="s">
        <v>54</v>
      </c>
      <c r="L84" s="2">
        <v>7624</v>
      </c>
      <c r="M84" s="2">
        <v>10304</v>
      </c>
    </row>
    <row r="85" spans="1:13" x14ac:dyDescent="0.25">
      <c r="A85" s="2" t="s">
        <v>131</v>
      </c>
      <c r="B85" s="5">
        <v>45929</v>
      </c>
      <c r="C85" s="2" t="s">
        <v>22</v>
      </c>
      <c r="D85" s="2" t="s">
        <v>34</v>
      </c>
      <c r="E85" s="2">
        <v>8551</v>
      </c>
      <c r="F85" s="2">
        <v>5</v>
      </c>
      <c r="G85" s="2">
        <v>42755</v>
      </c>
      <c r="H85" s="2" t="s">
        <v>10</v>
      </c>
      <c r="I85" s="2" t="s">
        <v>25</v>
      </c>
      <c r="J85" s="2">
        <v>7.2</v>
      </c>
      <c r="K85" s="2" t="s">
        <v>54</v>
      </c>
      <c r="L85" s="2">
        <v>7561</v>
      </c>
      <c r="M85" s="2">
        <v>35194</v>
      </c>
    </row>
    <row r="86" spans="1:13" x14ac:dyDescent="0.25">
      <c r="A86" s="2" t="s">
        <v>132</v>
      </c>
      <c r="B86" s="5">
        <v>45992</v>
      </c>
      <c r="C86" s="2" t="s">
        <v>133</v>
      </c>
      <c r="D86" s="2" t="s">
        <v>8</v>
      </c>
      <c r="E86" s="2">
        <v>12833</v>
      </c>
      <c r="F86" s="2">
        <v>4</v>
      </c>
      <c r="G86" s="2">
        <v>51332</v>
      </c>
      <c r="H86" s="2" t="s">
        <v>10</v>
      </c>
      <c r="I86" s="2" t="s">
        <v>12</v>
      </c>
      <c r="J86" s="2">
        <v>8.1999999999999993</v>
      </c>
      <c r="K86" s="2" t="s">
        <v>35</v>
      </c>
      <c r="L86" s="2">
        <v>10191</v>
      </c>
      <c r="M86" s="2">
        <v>41141</v>
      </c>
    </row>
    <row r="87" spans="1:13" x14ac:dyDescent="0.25">
      <c r="A87" s="2" t="s">
        <v>134</v>
      </c>
      <c r="B87" s="5">
        <v>45820</v>
      </c>
      <c r="C87" s="2" t="s">
        <v>28</v>
      </c>
      <c r="D87" s="2" t="s">
        <v>40</v>
      </c>
      <c r="E87" s="2">
        <v>5528</v>
      </c>
      <c r="F87" s="2">
        <v>5</v>
      </c>
      <c r="G87" s="2">
        <v>27640</v>
      </c>
      <c r="H87" s="2" t="s">
        <v>10</v>
      </c>
      <c r="I87" s="2" t="s">
        <v>12</v>
      </c>
      <c r="J87" s="2">
        <v>9.4</v>
      </c>
      <c r="K87" s="2" t="s">
        <v>75</v>
      </c>
      <c r="L87" s="2">
        <v>7499</v>
      </c>
      <c r="M87" s="2">
        <v>20141</v>
      </c>
    </row>
    <row r="88" spans="1:13" x14ac:dyDescent="0.25">
      <c r="A88" s="2" t="s">
        <v>135</v>
      </c>
      <c r="B88" s="5">
        <v>45944</v>
      </c>
      <c r="C88" s="2" t="s">
        <v>33</v>
      </c>
      <c r="D88" s="2" t="s">
        <v>7</v>
      </c>
      <c r="E88" s="2">
        <v>7192</v>
      </c>
      <c r="F88" s="2">
        <v>5</v>
      </c>
      <c r="G88" s="2">
        <v>35960</v>
      </c>
      <c r="H88" s="2" t="s">
        <v>10</v>
      </c>
      <c r="I88" s="2" t="s">
        <v>12</v>
      </c>
      <c r="J88" s="2">
        <v>8.6999999999999993</v>
      </c>
      <c r="K88" s="2" t="s">
        <v>80</v>
      </c>
      <c r="L88" s="2">
        <v>10487</v>
      </c>
      <c r="M88" s="2">
        <v>25473</v>
      </c>
    </row>
    <row r="89" spans="1:13" x14ac:dyDescent="0.25">
      <c r="A89" s="2" t="s">
        <v>136</v>
      </c>
      <c r="B89" s="5">
        <v>45855</v>
      </c>
      <c r="C89" s="2" t="s">
        <v>43</v>
      </c>
      <c r="D89" s="2" t="s">
        <v>23</v>
      </c>
      <c r="E89" s="2">
        <v>9049</v>
      </c>
      <c r="F89" s="2">
        <v>2</v>
      </c>
      <c r="G89" s="2">
        <v>18098</v>
      </c>
      <c r="H89" s="2" t="s">
        <v>10</v>
      </c>
      <c r="I89" s="2" t="s">
        <v>9</v>
      </c>
      <c r="J89" s="2">
        <v>7.3</v>
      </c>
      <c r="K89" s="2" t="s">
        <v>26</v>
      </c>
      <c r="L89" s="2">
        <v>10761</v>
      </c>
      <c r="M89" s="2">
        <v>7337</v>
      </c>
    </row>
    <row r="90" spans="1:13" x14ac:dyDescent="0.25">
      <c r="A90" s="2" t="s">
        <v>137</v>
      </c>
      <c r="B90" s="5">
        <v>45966</v>
      </c>
      <c r="C90" s="2" t="s">
        <v>84</v>
      </c>
      <c r="D90" s="2" t="s">
        <v>40</v>
      </c>
      <c r="E90" s="2">
        <v>5170</v>
      </c>
      <c r="F90" s="2">
        <v>3</v>
      </c>
      <c r="G90" s="2">
        <v>15510</v>
      </c>
      <c r="H90" s="2" t="s">
        <v>10</v>
      </c>
      <c r="I90" s="2" t="s">
        <v>41</v>
      </c>
      <c r="J90" s="2">
        <v>9.1999999999999993</v>
      </c>
      <c r="K90" s="2" t="s">
        <v>54</v>
      </c>
      <c r="L90" s="2">
        <v>10229</v>
      </c>
      <c r="M90" s="2">
        <v>5281</v>
      </c>
    </row>
    <row r="91" spans="1:13" x14ac:dyDescent="0.25">
      <c r="A91" s="2" t="s">
        <v>138</v>
      </c>
      <c r="B91" s="5">
        <v>45665</v>
      </c>
      <c r="C91" s="2" t="s">
        <v>67</v>
      </c>
      <c r="D91" s="2" t="s">
        <v>7</v>
      </c>
      <c r="E91" s="2">
        <v>7618</v>
      </c>
      <c r="F91" s="2">
        <v>1</v>
      </c>
      <c r="G91" s="2">
        <v>7618</v>
      </c>
      <c r="H91" s="2" t="s">
        <v>10</v>
      </c>
      <c r="I91" s="2" t="s">
        <v>25</v>
      </c>
      <c r="J91" s="2">
        <v>9</v>
      </c>
      <c r="K91" s="2" t="s">
        <v>75</v>
      </c>
      <c r="L91" s="2">
        <v>8389</v>
      </c>
      <c r="M91" s="2">
        <v>-771</v>
      </c>
    </row>
    <row r="92" spans="1:13" x14ac:dyDescent="0.25">
      <c r="A92" s="2" t="s">
        <v>139</v>
      </c>
      <c r="B92" s="5">
        <v>45952</v>
      </c>
      <c r="C92" s="2" t="s">
        <v>33</v>
      </c>
      <c r="D92" s="2" t="s">
        <v>23</v>
      </c>
      <c r="E92" s="2">
        <v>9907</v>
      </c>
      <c r="F92" s="2">
        <v>5</v>
      </c>
      <c r="G92" s="2">
        <v>49535</v>
      </c>
      <c r="H92" s="2" t="s">
        <v>11</v>
      </c>
      <c r="I92" s="2" t="s">
        <v>41</v>
      </c>
      <c r="J92" s="2">
        <v>0</v>
      </c>
      <c r="K92" s="2" t="s">
        <v>80</v>
      </c>
      <c r="L92" s="2">
        <v>1636</v>
      </c>
      <c r="M92" s="2">
        <v>0</v>
      </c>
    </row>
    <row r="93" spans="1:13" x14ac:dyDescent="0.25">
      <c r="A93" s="2" t="s">
        <v>140</v>
      </c>
      <c r="B93" s="5">
        <v>45733</v>
      </c>
      <c r="C93" s="2" t="s">
        <v>39</v>
      </c>
      <c r="D93" s="2" t="s">
        <v>7</v>
      </c>
      <c r="E93" s="2">
        <v>7066</v>
      </c>
      <c r="F93" s="2">
        <v>2</v>
      </c>
      <c r="G93" s="2">
        <v>14132</v>
      </c>
      <c r="H93" s="2" t="s">
        <v>10</v>
      </c>
      <c r="I93" s="2" t="s">
        <v>41</v>
      </c>
      <c r="J93" s="2">
        <v>7.1</v>
      </c>
      <c r="K93" s="2" t="s">
        <v>37</v>
      </c>
      <c r="L93" s="2">
        <v>10459</v>
      </c>
      <c r="M93" s="2">
        <v>3673</v>
      </c>
    </row>
    <row r="94" spans="1:13" x14ac:dyDescent="0.25">
      <c r="A94" s="2" t="s">
        <v>141</v>
      </c>
      <c r="B94" s="5">
        <v>45855</v>
      </c>
      <c r="C94" s="2" t="s">
        <v>43</v>
      </c>
      <c r="D94" s="2" t="s">
        <v>8</v>
      </c>
      <c r="E94" s="2">
        <v>12101</v>
      </c>
      <c r="F94" s="2">
        <v>3</v>
      </c>
      <c r="G94" s="2">
        <v>36303</v>
      </c>
      <c r="H94" s="2" t="s">
        <v>10</v>
      </c>
      <c r="I94" s="2" t="s">
        <v>12</v>
      </c>
      <c r="J94" s="2">
        <v>9.6</v>
      </c>
      <c r="K94" s="2" t="s">
        <v>80</v>
      </c>
      <c r="L94" s="2">
        <v>7556</v>
      </c>
      <c r="M94" s="2">
        <v>28747</v>
      </c>
    </row>
    <row r="95" spans="1:13" x14ac:dyDescent="0.25">
      <c r="A95" s="2" t="s">
        <v>142</v>
      </c>
      <c r="B95" s="5">
        <v>45799</v>
      </c>
      <c r="C95" s="2" t="s">
        <v>52</v>
      </c>
      <c r="D95" s="2" t="s">
        <v>23</v>
      </c>
      <c r="E95" s="2">
        <v>9416</v>
      </c>
      <c r="F95" s="2">
        <v>4</v>
      </c>
      <c r="G95" s="2">
        <v>37664</v>
      </c>
      <c r="H95" s="2" t="s">
        <v>24</v>
      </c>
      <c r="I95" s="2" t="s">
        <v>12</v>
      </c>
      <c r="J95" s="2">
        <v>0</v>
      </c>
      <c r="K95" s="2" t="s">
        <v>57</v>
      </c>
      <c r="L95" s="2">
        <v>1513</v>
      </c>
      <c r="M95" s="2">
        <v>0</v>
      </c>
    </row>
    <row r="96" spans="1:13" x14ac:dyDescent="0.25">
      <c r="A96" s="2" t="s">
        <v>143</v>
      </c>
      <c r="B96" s="5">
        <v>45765</v>
      </c>
      <c r="C96" s="2" t="s">
        <v>63</v>
      </c>
      <c r="D96" s="2" t="s">
        <v>34</v>
      </c>
      <c r="E96" s="2">
        <v>8565</v>
      </c>
      <c r="F96" s="2">
        <v>1</v>
      </c>
      <c r="G96" s="2">
        <v>8565</v>
      </c>
      <c r="H96" s="2" t="s">
        <v>10</v>
      </c>
      <c r="I96" s="2" t="s">
        <v>41</v>
      </c>
      <c r="J96" s="2">
        <v>7.1</v>
      </c>
      <c r="K96" s="2" t="s">
        <v>54</v>
      </c>
      <c r="L96" s="2">
        <v>8790</v>
      </c>
      <c r="M96" s="2">
        <v>-225</v>
      </c>
    </row>
    <row r="97" spans="1:13" x14ac:dyDescent="0.25">
      <c r="A97" s="2" t="s">
        <v>144</v>
      </c>
      <c r="B97" s="5">
        <v>45898</v>
      </c>
      <c r="C97" s="2" t="s">
        <v>30</v>
      </c>
      <c r="D97" s="2" t="s">
        <v>40</v>
      </c>
      <c r="E97" s="2">
        <v>5826</v>
      </c>
      <c r="F97" s="2">
        <v>1</v>
      </c>
      <c r="G97" s="2">
        <v>5826</v>
      </c>
      <c r="H97" s="2" t="s">
        <v>10</v>
      </c>
      <c r="I97" s="2" t="s">
        <v>25</v>
      </c>
      <c r="J97" s="2">
        <v>6.7</v>
      </c>
      <c r="K97" s="2" t="s">
        <v>80</v>
      </c>
      <c r="L97" s="2">
        <v>7713</v>
      </c>
      <c r="M97" s="2">
        <v>-1887</v>
      </c>
    </row>
    <row r="98" spans="1:13" x14ac:dyDescent="0.25">
      <c r="A98" s="2" t="s">
        <v>145</v>
      </c>
      <c r="B98" s="5">
        <v>45944</v>
      </c>
      <c r="C98" s="2" t="s">
        <v>33</v>
      </c>
      <c r="D98" s="2" t="s">
        <v>34</v>
      </c>
      <c r="E98" s="2">
        <v>8961</v>
      </c>
      <c r="F98" s="2">
        <v>3</v>
      </c>
      <c r="G98" s="2">
        <v>26883</v>
      </c>
      <c r="H98" s="2" t="s">
        <v>10</v>
      </c>
      <c r="I98" s="2" t="s">
        <v>25</v>
      </c>
      <c r="J98" s="2">
        <v>9.6</v>
      </c>
      <c r="K98" s="2" t="s">
        <v>57</v>
      </c>
      <c r="L98" s="2">
        <v>10099</v>
      </c>
      <c r="M98" s="2">
        <v>16784</v>
      </c>
    </row>
    <row r="99" spans="1:13" x14ac:dyDescent="0.25">
      <c r="A99" s="2" t="s">
        <v>146</v>
      </c>
      <c r="B99" s="5">
        <v>45672</v>
      </c>
      <c r="C99" s="2" t="s">
        <v>67</v>
      </c>
      <c r="D99" s="2" t="s">
        <v>34</v>
      </c>
      <c r="E99" s="2">
        <v>9016</v>
      </c>
      <c r="F99" s="2">
        <v>5</v>
      </c>
      <c r="G99" s="2">
        <v>45080</v>
      </c>
      <c r="H99" s="2" t="s">
        <v>10</v>
      </c>
      <c r="I99" s="2" t="s">
        <v>9</v>
      </c>
      <c r="J99" s="2">
        <v>9.1</v>
      </c>
      <c r="K99" s="2" t="s">
        <v>44</v>
      </c>
      <c r="L99" s="2">
        <v>8794</v>
      </c>
      <c r="M99" s="2">
        <v>36286</v>
      </c>
    </row>
    <row r="100" spans="1:13" x14ac:dyDescent="0.25">
      <c r="A100" s="2" t="s">
        <v>147</v>
      </c>
      <c r="B100" s="5">
        <v>45701</v>
      </c>
      <c r="C100" s="2" t="s">
        <v>47</v>
      </c>
      <c r="D100" s="2" t="s">
        <v>34</v>
      </c>
      <c r="E100" s="2">
        <v>8808</v>
      </c>
      <c r="F100" s="2">
        <v>5</v>
      </c>
      <c r="G100" s="2">
        <v>44040</v>
      </c>
      <c r="H100" s="2" t="s">
        <v>11</v>
      </c>
      <c r="I100" s="2" t="s">
        <v>9</v>
      </c>
      <c r="J100" s="2">
        <v>0</v>
      </c>
      <c r="K100" s="2" t="s">
        <v>54</v>
      </c>
      <c r="L100" s="2">
        <v>2081</v>
      </c>
      <c r="M100" s="2">
        <v>0</v>
      </c>
    </row>
    <row r="101" spans="1:13" x14ac:dyDescent="0.25">
      <c r="A101" s="2" t="s">
        <v>148</v>
      </c>
      <c r="B101" s="5">
        <v>45800</v>
      </c>
      <c r="C101" s="2" t="s">
        <v>52</v>
      </c>
      <c r="D101" s="2" t="s">
        <v>8</v>
      </c>
      <c r="E101" s="2">
        <v>12269</v>
      </c>
      <c r="F101" s="2">
        <v>5</v>
      </c>
      <c r="G101" s="2">
        <v>61345</v>
      </c>
      <c r="H101" s="2" t="s">
        <v>24</v>
      </c>
      <c r="I101" s="2" t="s">
        <v>25</v>
      </c>
      <c r="J101" s="2">
        <v>0</v>
      </c>
      <c r="K101" s="2" t="s">
        <v>26</v>
      </c>
      <c r="L101" s="2">
        <v>1357</v>
      </c>
      <c r="M101" s="2">
        <v>0</v>
      </c>
    </row>
    <row r="102" spans="1:13" x14ac:dyDescent="0.25">
      <c r="A102" s="2" t="s">
        <v>149</v>
      </c>
      <c r="B102" s="5">
        <v>45853</v>
      </c>
      <c r="C102" s="2" t="s">
        <v>43</v>
      </c>
      <c r="D102" s="2" t="s">
        <v>40</v>
      </c>
      <c r="E102" s="2">
        <v>5955</v>
      </c>
      <c r="F102" s="2">
        <v>2</v>
      </c>
      <c r="G102" s="2">
        <v>11910</v>
      </c>
      <c r="H102" s="2" t="s">
        <v>11</v>
      </c>
      <c r="I102" s="2" t="s">
        <v>12</v>
      </c>
      <c r="J102" s="2">
        <v>0</v>
      </c>
      <c r="K102" s="2" t="s">
        <v>75</v>
      </c>
      <c r="L102" s="2">
        <v>2695</v>
      </c>
      <c r="M102" s="2">
        <v>0</v>
      </c>
    </row>
    <row r="103" spans="1:13" x14ac:dyDescent="0.25">
      <c r="A103" s="2" t="s">
        <v>150</v>
      </c>
      <c r="B103" s="5">
        <v>45789</v>
      </c>
      <c r="C103" s="2" t="s">
        <v>52</v>
      </c>
      <c r="D103" s="2" t="s">
        <v>23</v>
      </c>
      <c r="E103" s="2">
        <v>9161</v>
      </c>
      <c r="F103" s="2">
        <v>5</v>
      </c>
      <c r="G103" s="2">
        <v>45805</v>
      </c>
      <c r="H103" s="2" t="s">
        <v>10</v>
      </c>
      <c r="I103" s="2" t="s">
        <v>41</v>
      </c>
      <c r="J103" s="2">
        <v>7</v>
      </c>
      <c r="K103" s="2" t="s">
        <v>44</v>
      </c>
      <c r="L103" s="2">
        <v>9916</v>
      </c>
      <c r="M103" s="2">
        <v>35889</v>
      </c>
    </row>
    <row r="104" spans="1:13" x14ac:dyDescent="0.25">
      <c r="A104" s="2" t="s">
        <v>151</v>
      </c>
      <c r="B104" s="5">
        <v>45671</v>
      </c>
      <c r="C104" s="2" t="s">
        <v>67</v>
      </c>
      <c r="D104" s="2" t="s">
        <v>34</v>
      </c>
      <c r="E104" s="2">
        <v>8590</v>
      </c>
      <c r="F104" s="2">
        <v>1</v>
      </c>
      <c r="G104" s="2">
        <v>8590</v>
      </c>
      <c r="H104" s="2" t="s">
        <v>10</v>
      </c>
      <c r="I104" s="2" t="s">
        <v>9</v>
      </c>
      <c r="J104" s="2">
        <v>7.6</v>
      </c>
      <c r="K104" s="2" t="s">
        <v>80</v>
      </c>
      <c r="L104" s="2">
        <v>9252</v>
      </c>
      <c r="M104" s="2">
        <v>-662</v>
      </c>
    </row>
    <row r="105" spans="1:13" x14ac:dyDescent="0.25">
      <c r="A105" s="2" t="s">
        <v>152</v>
      </c>
      <c r="B105" s="5">
        <v>45956</v>
      </c>
      <c r="C105" s="2" t="s">
        <v>33</v>
      </c>
      <c r="D105" s="2" t="s">
        <v>8</v>
      </c>
      <c r="E105" s="2">
        <v>12311</v>
      </c>
      <c r="F105" s="2">
        <v>2</v>
      </c>
      <c r="G105" s="2">
        <v>24622</v>
      </c>
      <c r="H105" s="2" t="s">
        <v>24</v>
      </c>
      <c r="I105" s="2" t="s">
        <v>12</v>
      </c>
      <c r="J105" s="2">
        <v>0</v>
      </c>
      <c r="K105" s="2" t="s">
        <v>80</v>
      </c>
      <c r="L105" s="2">
        <v>2820</v>
      </c>
      <c r="M105" s="2">
        <v>0</v>
      </c>
    </row>
    <row r="106" spans="1:13" x14ac:dyDescent="0.25">
      <c r="A106" s="2" t="s">
        <v>153</v>
      </c>
      <c r="B106" s="5">
        <v>45701</v>
      </c>
      <c r="C106" s="2" t="s">
        <v>47</v>
      </c>
      <c r="D106" s="2" t="s">
        <v>40</v>
      </c>
      <c r="E106" s="2">
        <v>5113</v>
      </c>
      <c r="F106" s="2">
        <v>1</v>
      </c>
      <c r="G106" s="2">
        <v>5113</v>
      </c>
      <c r="H106" s="2" t="s">
        <v>10</v>
      </c>
      <c r="I106" s="2" t="s">
        <v>9</v>
      </c>
      <c r="J106" s="2">
        <v>7.3</v>
      </c>
      <c r="K106" s="2" t="s">
        <v>37</v>
      </c>
      <c r="L106" s="2">
        <v>10306</v>
      </c>
      <c r="M106" s="2">
        <v>-5193</v>
      </c>
    </row>
    <row r="107" spans="1:13" x14ac:dyDescent="0.25">
      <c r="A107" s="2" t="s">
        <v>154</v>
      </c>
      <c r="B107" s="5">
        <v>45752</v>
      </c>
      <c r="C107" s="2" t="s">
        <v>63</v>
      </c>
      <c r="D107" s="2" t="s">
        <v>34</v>
      </c>
      <c r="E107" s="2">
        <v>9159</v>
      </c>
      <c r="F107" s="2">
        <v>5</v>
      </c>
      <c r="G107" s="2">
        <v>45795</v>
      </c>
      <c r="H107" s="2" t="s">
        <v>24</v>
      </c>
      <c r="I107" s="2" t="s">
        <v>25</v>
      </c>
      <c r="J107" s="2">
        <v>0</v>
      </c>
      <c r="K107" s="2" t="s">
        <v>26</v>
      </c>
      <c r="L107" s="2">
        <v>2401</v>
      </c>
      <c r="M107" s="2">
        <v>0</v>
      </c>
    </row>
    <row r="108" spans="1:13" x14ac:dyDescent="0.25">
      <c r="A108" s="2" t="s">
        <v>155</v>
      </c>
      <c r="B108" s="5">
        <v>45724</v>
      </c>
      <c r="C108" s="2" t="s">
        <v>39</v>
      </c>
      <c r="D108" s="2" t="s">
        <v>40</v>
      </c>
      <c r="E108" s="2">
        <v>5380</v>
      </c>
      <c r="F108" s="2">
        <v>5</v>
      </c>
      <c r="G108" s="2">
        <v>26900</v>
      </c>
      <c r="H108" s="2" t="s">
        <v>24</v>
      </c>
      <c r="I108" s="2" t="s">
        <v>25</v>
      </c>
      <c r="J108" s="2">
        <v>0</v>
      </c>
      <c r="K108" s="2" t="s">
        <v>31</v>
      </c>
      <c r="L108" s="2">
        <v>2783</v>
      </c>
      <c r="M108" s="2">
        <v>0</v>
      </c>
    </row>
    <row r="109" spans="1:13" x14ac:dyDescent="0.25">
      <c r="A109" s="2" t="s">
        <v>156</v>
      </c>
      <c r="B109" s="5">
        <v>45870</v>
      </c>
      <c r="C109" s="2" t="s">
        <v>30</v>
      </c>
      <c r="D109" s="2" t="s">
        <v>40</v>
      </c>
      <c r="E109" s="2">
        <v>5835</v>
      </c>
      <c r="F109" s="2">
        <v>2</v>
      </c>
      <c r="G109" s="2">
        <v>11670</v>
      </c>
      <c r="H109" s="2" t="s">
        <v>10</v>
      </c>
      <c r="I109" s="2" t="s">
        <v>9</v>
      </c>
      <c r="J109" s="2">
        <v>9.5</v>
      </c>
      <c r="K109" s="2" t="s">
        <v>31</v>
      </c>
      <c r="L109" s="2">
        <v>7532</v>
      </c>
      <c r="M109" s="2">
        <v>4138</v>
      </c>
    </row>
    <row r="110" spans="1:13" x14ac:dyDescent="0.25">
      <c r="A110" s="2" t="s">
        <v>157</v>
      </c>
      <c r="B110" s="5">
        <v>45755</v>
      </c>
      <c r="C110" s="2" t="s">
        <v>63</v>
      </c>
      <c r="D110" s="2" t="s">
        <v>7</v>
      </c>
      <c r="E110" s="2">
        <v>7337</v>
      </c>
      <c r="F110" s="2">
        <v>1</v>
      </c>
      <c r="G110" s="2">
        <v>7337</v>
      </c>
      <c r="H110" s="2" t="s">
        <v>11</v>
      </c>
      <c r="I110" s="2" t="s">
        <v>9</v>
      </c>
      <c r="J110" s="2">
        <v>0</v>
      </c>
      <c r="K110" s="2" t="s">
        <v>57</v>
      </c>
      <c r="L110" s="2">
        <v>1806</v>
      </c>
      <c r="M110" s="2">
        <v>0</v>
      </c>
    </row>
    <row r="111" spans="1:13" x14ac:dyDescent="0.25">
      <c r="A111" s="2" t="s">
        <v>158</v>
      </c>
      <c r="B111" s="5">
        <v>45990</v>
      </c>
      <c r="C111" s="2" t="s">
        <v>84</v>
      </c>
      <c r="D111" s="2" t="s">
        <v>8</v>
      </c>
      <c r="E111" s="2">
        <v>12972</v>
      </c>
      <c r="F111" s="2">
        <v>4</v>
      </c>
      <c r="G111" s="2">
        <v>51888</v>
      </c>
      <c r="H111" s="2" t="s">
        <v>24</v>
      </c>
      <c r="I111" s="2" t="s">
        <v>41</v>
      </c>
      <c r="J111" s="2">
        <v>0</v>
      </c>
      <c r="K111" s="2" t="s">
        <v>75</v>
      </c>
      <c r="L111" s="2">
        <v>1256</v>
      </c>
      <c r="M111" s="2">
        <v>0</v>
      </c>
    </row>
    <row r="112" spans="1:13" x14ac:dyDescent="0.25">
      <c r="A112" s="2" t="s">
        <v>159</v>
      </c>
      <c r="B112" s="5">
        <v>45856</v>
      </c>
      <c r="C112" s="2" t="s">
        <v>43</v>
      </c>
      <c r="D112" s="2" t="s">
        <v>40</v>
      </c>
      <c r="E112" s="2">
        <v>5051</v>
      </c>
      <c r="F112" s="2">
        <v>5</v>
      </c>
      <c r="G112" s="2">
        <v>25255</v>
      </c>
      <c r="H112" s="2" t="s">
        <v>10</v>
      </c>
      <c r="I112" s="2" t="s">
        <v>12</v>
      </c>
      <c r="J112" s="2">
        <v>7.9</v>
      </c>
      <c r="K112" s="2" t="s">
        <v>31</v>
      </c>
      <c r="L112" s="2">
        <v>10798</v>
      </c>
      <c r="M112" s="2">
        <v>14457</v>
      </c>
    </row>
    <row r="113" spans="1:13" x14ac:dyDescent="0.25">
      <c r="A113" s="2" t="s">
        <v>160</v>
      </c>
      <c r="B113" s="5">
        <v>45749</v>
      </c>
      <c r="C113" s="2" t="s">
        <v>63</v>
      </c>
      <c r="D113" s="2" t="s">
        <v>7</v>
      </c>
      <c r="E113" s="2">
        <v>7085</v>
      </c>
      <c r="F113" s="2">
        <v>2</v>
      </c>
      <c r="G113" s="2">
        <v>14170</v>
      </c>
      <c r="H113" s="2" t="s">
        <v>10</v>
      </c>
      <c r="I113" s="2" t="s">
        <v>9</v>
      </c>
      <c r="J113" s="2">
        <v>7.5</v>
      </c>
      <c r="K113" s="2" t="s">
        <v>54</v>
      </c>
      <c r="L113" s="2">
        <v>8837</v>
      </c>
      <c r="M113" s="2">
        <v>5333</v>
      </c>
    </row>
    <row r="114" spans="1:13" x14ac:dyDescent="0.25">
      <c r="A114" s="2" t="s">
        <v>161</v>
      </c>
      <c r="B114" s="5">
        <v>45853</v>
      </c>
      <c r="C114" s="2" t="s">
        <v>43</v>
      </c>
      <c r="D114" s="2" t="s">
        <v>34</v>
      </c>
      <c r="E114" s="2">
        <v>8871</v>
      </c>
      <c r="F114" s="2">
        <v>1</v>
      </c>
      <c r="G114" s="2">
        <v>8871</v>
      </c>
      <c r="H114" s="2" t="s">
        <v>10</v>
      </c>
      <c r="I114" s="2" t="s">
        <v>25</v>
      </c>
      <c r="J114" s="2">
        <v>7</v>
      </c>
      <c r="K114" s="2" t="s">
        <v>75</v>
      </c>
      <c r="L114" s="2">
        <v>10699</v>
      </c>
      <c r="M114" s="2">
        <v>-1828</v>
      </c>
    </row>
    <row r="115" spans="1:13" x14ac:dyDescent="0.25">
      <c r="A115" s="2" t="s">
        <v>162</v>
      </c>
      <c r="B115" s="5">
        <v>45885</v>
      </c>
      <c r="C115" s="2" t="s">
        <v>30</v>
      </c>
      <c r="D115" s="2" t="s">
        <v>40</v>
      </c>
      <c r="E115" s="2">
        <v>5553</v>
      </c>
      <c r="F115" s="2">
        <v>1</v>
      </c>
      <c r="G115" s="2">
        <v>5553</v>
      </c>
      <c r="H115" s="2" t="s">
        <v>10</v>
      </c>
      <c r="I115" s="2" t="s">
        <v>9</v>
      </c>
      <c r="J115" s="2">
        <v>6.7</v>
      </c>
      <c r="K115" s="2" t="s">
        <v>26</v>
      </c>
      <c r="L115" s="2">
        <v>10580</v>
      </c>
      <c r="M115" s="2">
        <v>-5027</v>
      </c>
    </row>
    <row r="116" spans="1:13" x14ac:dyDescent="0.25">
      <c r="A116" s="2" t="s">
        <v>163</v>
      </c>
      <c r="B116" s="5">
        <v>45712</v>
      </c>
      <c r="C116" s="2" t="s">
        <v>47</v>
      </c>
      <c r="D116" s="2" t="s">
        <v>23</v>
      </c>
      <c r="E116" s="2">
        <v>9845</v>
      </c>
      <c r="F116" s="2">
        <v>1</v>
      </c>
      <c r="G116" s="2">
        <v>9845</v>
      </c>
      <c r="H116" s="2" t="s">
        <v>10</v>
      </c>
      <c r="I116" s="2" t="s">
        <v>25</v>
      </c>
      <c r="J116" s="2">
        <v>8.1</v>
      </c>
      <c r="K116" s="2" t="s">
        <v>44</v>
      </c>
      <c r="L116" s="2">
        <v>7079</v>
      </c>
      <c r="M116" s="2">
        <v>2766</v>
      </c>
    </row>
    <row r="117" spans="1:13" x14ac:dyDescent="0.25">
      <c r="A117" s="2" t="s">
        <v>164</v>
      </c>
      <c r="B117" s="5">
        <v>45888</v>
      </c>
      <c r="C117" s="2" t="s">
        <v>30</v>
      </c>
      <c r="D117" s="2" t="s">
        <v>40</v>
      </c>
      <c r="E117" s="2">
        <v>5763</v>
      </c>
      <c r="F117" s="2">
        <v>5</v>
      </c>
      <c r="G117" s="2">
        <v>28815</v>
      </c>
      <c r="H117" s="2" t="s">
        <v>10</v>
      </c>
      <c r="I117" s="2" t="s">
        <v>41</v>
      </c>
      <c r="J117" s="2">
        <v>8.4</v>
      </c>
      <c r="K117" s="2" t="s">
        <v>75</v>
      </c>
      <c r="L117" s="2">
        <v>10334</v>
      </c>
      <c r="M117" s="2">
        <v>18481</v>
      </c>
    </row>
    <row r="118" spans="1:13" x14ac:dyDescent="0.25">
      <c r="A118" s="2" t="s">
        <v>165</v>
      </c>
      <c r="B118" s="5">
        <v>45714</v>
      </c>
      <c r="C118" s="2" t="s">
        <v>47</v>
      </c>
      <c r="D118" s="2" t="s">
        <v>8</v>
      </c>
      <c r="E118" s="2">
        <v>12057</v>
      </c>
      <c r="F118" s="2">
        <v>4</v>
      </c>
      <c r="G118" s="2">
        <v>48228</v>
      </c>
      <c r="H118" s="2" t="s">
        <v>10</v>
      </c>
      <c r="I118" s="2" t="s">
        <v>41</v>
      </c>
      <c r="J118" s="2">
        <v>8.3000000000000007</v>
      </c>
      <c r="K118" s="2" t="s">
        <v>75</v>
      </c>
      <c r="L118" s="2">
        <v>7518</v>
      </c>
      <c r="M118" s="2">
        <v>40710</v>
      </c>
    </row>
    <row r="119" spans="1:13" x14ac:dyDescent="0.25">
      <c r="A119" s="2" t="s">
        <v>166</v>
      </c>
      <c r="B119" s="5">
        <v>45818</v>
      </c>
      <c r="C119" s="2" t="s">
        <v>28</v>
      </c>
      <c r="D119" s="2" t="s">
        <v>23</v>
      </c>
      <c r="E119" s="2">
        <v>9240</v>
      </c>
      <c r="F119" s="2">
        <v>5</v>
      </c>
      <c r="G119" s="2">
        <v>46200</v>
      </c>
      <c r="H119" s="2" t="s">
        <v>10</v>
      </c>
      <c r="I119" s="2" t="s">
        <v>12</v>
      </c>
      <c r="J119" s="2">
        <v>7.4</v>
      </c>
      <c r="K119" s="2" t="s">
        <v>37</v>
      </c>
      <c r="L119" s="2">
        <v>9345</v>
      </c>
      <c r="M119" s="2">
        <v>36855</v>
      </c>
    </row>
    <row r="120" spans="1:13" x14ac:dyDescent="0.25">
      <c r="A120" s="2" t="s">
        <v>167</v>
      </c>
      <c r="B120" s="5">
        <v>45865</v>
      </c>
      <c r="C120" s="2" t="s">
        <v>43</v>
      </c>
      <c r="D120" s="2" t="s">
        <v>34</v>
      </c>
      <c r="E120" s="2">
        <v>8882</v>
      </c>
      <c r="F120" s="2">
        <v>4</v>
      </c>
      <c r="G120" s="2">
        <v>35528</v>
      </c>
      <c r="H120" s="2" t="s">
        <v>24</v>
      </c>
      <c r="I120" s="2" t="s">
        <v>9</v>
      </c>
      <c r="J120" s="2">
        <v>0</v>
      </c>
      <c r="K120" s="2" t="s">
        <v>54</v>
      </c>
      <c r="L120" s="2">
        <v>2771</v>
      </c>
      <c r="M120" s="2">
        <v>0</v>
      </c>
    </row>
    <row r="121" spans="1:13" x14ac:dyDescent="0.25">
      <c r="A121" s="2" t="s">
        <v>168</v>
      </c>
      <c r="B121" s="5">
        <v>45847</v>
      </c>
      <c r="C121" s="2" t="s">
        <v>43</v>
      </c>
      <c r="D121" s="2" t="s">
        <v>23</v>
      </c>
      <c r="E121" s="2">
        <v>9470</v>
      </c>
      <c r="F121" s="2">
        <v>5</v>
      </c>
      <c r="G121" s="2">
        <v>47350</v>
      </c>
      <c r="H121" s="2" t="s">
        <v>10</v>
      </c>
      <c r="I121" s="2" t="s">
        <v>25</v>
      </c>
      <c r="J121" s="2">
        <v>6.7</v>
      </c>
      <c r="K121" s="2" t="s">
        <v>49</v>
      </c>
      <c r="L121" s="2">
        <v>8375</v>
      </c>
      <c r="M121" s="2">
        <v>38975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4"/>
  <sheetViews>
    <sheetView topLeftCell="E1" workbookViewId="0">
      <selection activeCell="G3" sqref="G3:H5"/>
    </sheetView>
  </sheetViews>
  <sheetFormatPr defaultRowHeight="15" x14ac:dyDescent="0.25"/>
  <cols>
    <col min="1" max="1" width="13.140625" bestFit="1" customWidth="1"/>
    <col min="2" max="2" width="12.5703125" customWidth="1"/>
    <col min="4" max="4" width="13.140625" customWidth="1"/>
    <col min="5" max="5" width="12.5703125" bestFit="1" customWidth="1"/>
    <col min="7" max="7" width="23.5703125" customWidth="1"/>
    <col min="8" max="8" width="16.28515625" customWidth="1"/>
    <col min="9" max="9" width="7" customWidth="1"/>
    <col min="10" max="10" width="12.140625" customWidth="1"/>
    <col min="11" max="11" width="8" customWidth="1"/>
    <col min="13" max="13" width="13.140625" customWidth="1"/>
    <col min="14" max="14" width="21.140625" bestFit="1" customWidth="1"/>
    <col min="17" max="17" width="14" bestFit="1" customWidth="1"/>
  </cols>
  <sheetData>
    <row r="1" spans="1:17" x14ac:dyDescent="0.25">
      <c r="A1" t="s">
        <v>170</v>
      </c>
      <c r="D1" t="s">
        <v>171</v>
      </c>
      <c r="G1" t="s">
        <v>173</v>
      </c>
      <c r="J1" t="s">
        <v>174</v>
      </c>
      <c r="M1" t="s">
        <v>176</v>
      </c>
    </row>
    <row r="2" spans="1:17" x14ac:dyDescent="0.25">
      <c r="A2" s="3" t="s">
        <v>13</v>
      </c>
      <c r="B2" t="s">
        <v>169</v>
      </c>
      <c r="D2" s="3" t="s">
        <v>13</v>
      </c>
      <c r="E2" t="s">
        <v>169</v>
      </c>
      <c r="G2" s="3" t="s">
        <v>13</v>
      </c>
      <c r="H2" t="s">
        <v>172</v>
      </c>
      <c r="J2" s="3" t="s">
        <v>13</v>
      </c>
      <c r="K2" t="s">
        <v>169</v>
      </c>
      <c r="M2" s="3" t="s">
        <v>13</v>
      </c>
      <c r="N2" t="s">
        <v>175</v>
      </c>
    </row>
    <row r="3" spans="1:17" x14ac:dyDescent="0.25">
      <c r="A3" s="6" t="s">
        <v>31</v>
      </c>
      <c r="B3" s="2">
        <v>184650</v>
      </c>
      <c r="D3" s="6" t="s">
        <v>7</v>
      </c>
      <c r="E3" s="2">
        <v>145856</v>
      </c>
      <c r="G3" s="6" t="s">
        <v>24</v>
      </c>
      <c r="H3" s="2">
        <v>14</v>
      </c>
      <c r="J3" s="6" t="s">
        <v>41</v>
      </c>
      <c r="K3" s="2">
        <v>296630</v>
      </c>
      <c r="M3" s="7" t="s">
        <v>179</v>
      </c>
      <c r="N3" s="2">
        <v>137176</v>
      </c>
      <c r="P3" s="6"/>
      <c r="Q3" s="2"/>
    </row>
    <row r="4" spans="1:17" x14ac:dyDescent="0.25">
      <c r="A4" s="6" t="s">
        <v>49</v>
      </c>
      <c r="B4" s="2">
        <v>214149</v>
      </c>
      <c r="D4" s="6" t="s">
        <v>23</v>
      </c>
      <c r="E4" s="2">
        <v>316183</v>
      </c>
      <c r="G4" s="6" t="s">
        <v>10</v>
      </c>
      <c r="H4" s="2">
        <v>89</v>
      </c>
      <c r="J4" s="6" t="s">
        <v>12</v>
      </c>
      <c r="K4" s="2">
        <v>412124</v>
      </c>
      <c r="M4" s="7" t="s">
        <v>180</v>
      </c>
      <c r="N4" s="2">
        <v>7618</v>
      </c>
      <c r="P4" s="6"/>
      <c r="Q4" s="2"/>
    </row>
    <row r="5" spans="1:17" x14ac:dyDescent="0.25">
      <c r="A5" s="6" t="s">
        <v>80</v>
      </c>
      <c r="B5" s="2">
        <v>74623</v>
      </c>
      <c r="D5" s="6" t="s">
        <v>34</v>
      </c>
      <c r="E5" s="2">
        <v>267338</v>
      </c>
      <c r="G5" s="6" t="s">
        <v>11</v>
      </c>
      <c r="H5" s="2">
        <v>17</v>
      </c>
      <c r="J5" s="6" t="s">
        <v>9</v>
      </c>
      <c r="K5" s="2">
        <v>508120</v>
      </c>
      <c r="M5" s="7" t="s">
        <v>181</v>
      </c>
      <c r="N5" s="2">
        <v>64470</v>
      </c>
      <c r="P5" s="6"/>
      <c r="Q5" s="2"/>
    </row>
    <row r="6" spans="1:17" x14ac:dyDescent="0.25">
      <c r="A6" s="6" t="s">
        <v>57</v>
      </c>
      <c r="B6" s="2">
        <v>155533</v>
      </c>
      <c r="D6" s="6" t="s">
        <v>40</v>
      </c>
      <c r="E6" s="2">
        <v>157511</v>
      </c>
      <c r="J6" s="6" t="s">
        <v>25</v>
      </c>
      <c r="K6" s="2">
        <v>456853</v>
      </c>
      <c r="M6" s="7" t="s">
        <v>182</v>
      </c>
      <c r="N6" s="2">
        <v>37824</v>
      </c>
      <c r="P6" s="6"/>
      <c r="Q6" s="2"/>
    </row>
    <row r="7" spans="1:17" x14ac:dyDescent="0.25">
      <c r="A7" s="6" t="s">
        <v>26</v>
      </c>
      <c r="B7" s="2">
        <v>120200</v>
      </c>
      <c r="D7" s="6" t="s">
        <v>8</v>
      </c>
      <c r="E7" s="2">
        <v>786839</v>
      </c>
      <c r="M7" s="7" t="s">
        <v>183</v>
      </c>
      <c r="N7" s="2">
        <v>8590</v>
      </c>
      <c r="P7" s="6"/>
      <c r="Q7" s="2"/>
    </row>
    <row r="8" spans="1:17" x14ac:dyDescent="0.25">
      <c r="A8" s="6" t="s">
        <v>75</v>
      </c>
      <c r="B8" s="2">
        <v>179486</v>
      </c>
      <c r="D8" s="6" t="s">
        <v>14</v>
      </c>
      <c r="E8" s="2">
        <v>1673727</v>
      </c>
      <c r="M8" s="7" t="s">
        <v>184</v>
      </c>
      <c r="N8" s="2">
        <v>64484</v>
      </c>
      <c r="P8" s="6"/>
      <c r="Q8" s="2"/>
    </row>
    <row r="9" spans="1:17" x14ac:dyDescent="0.25">
      <c r="A9" s="6" t="s">
        <v>44</v>
      </c>
      <c r="B9" s="2">
        <v>233347</v>
      </c>
      <c r="M9" s="7" t="s">
        <v>185</v>
      </c>
      <c r="N9" s="2">
        <v>9470</v>
      </c>
      <c r="P9" s="6"/>
      <c r="Q9" s="2"/>
    </row>
    <row r="10" spans="1:17" x14ac:dyDescent="0.25">
      <c r="A10" s="6" t="s">
        <v>35</v>
      </c>
      <c r="B10" s="2">
        <v>267590</v>
      </c>
      <c r="M10" s="7" t="s">
        <v>186</v>
      </c>
      <c r="N10" s="2">
        <v>36265</v>
      </c>
      <c r="P10" s="6"/>
      <c r="Q10" s="2"/>
    </row>
    <row r="11" spans="1:17" x14ac:dyDescent="0.25">
      <c r="A11" s="6" t="s">
        <v>54</v>
      </c>
      <c r="B11" s="2">
        <v>138674</v>
      </c>
      <c r="G11" s="6" t="s">
        <v>24</v>
      </c>
      <c r="H11" s="2">
        <v>14</v>
      </c>
      <c r="M11" s="7" t="s">
        <v>187</v>
      </c>
      <c r="N11" s="2">
        <v>18340</v>
      </c>
      <c r="P11" s="6"/>
      <c r="Q11" s="2"/>
    </row>
    <row r="12" spans="1:17" x14ac:dyDescent="0.25">
      <c r="A12" s="6" t="s">
        <v>37</v>
      </c>
      <c r="B12" s="2">
        <v>105475</v>
      </c>
      <c r="G12" s="6" t="s">
        <v>10</v>
      </c>
      <c r="H12" s="2">
        <v>89</v>
      </c>
      <c r="M12" s="7" t="s">
        <v>188</v>
      </c>
      <c r="N12" s="2">
        <v>22605</v>
      </c>
      <c r="P12" s="6"/>
      <c r="Q12" s="2"/>
    </row>
    <row r="13" spans="1:17" x14ac:dyDescent="0.25">
      <c r="A13" s="6" t="s">
        <v>14</v>
      </c>
      <c r="B13" s="2">
        <v>1673727</v>
      </c>
      <c r="G13" s="6" t="s">
        <v>11</v>
      </c>
      <c r="H13" s="2">
        <v>17</v>
      </c>
      <c r="M13" s="7" t="s">
        <v>189</v>
      </c>
      <c r="N13" s="2">
        <v>7067</v>
      </c>
      <c r="P13" s="6"/>
      <c r="Q13" s="2"/>
    </row>
    <row r="14" spans="1:17" x14ac:dyDescent="0.25">
      <c r="M14" s="7" t="s">
        <v>190</v>
      </c>
      <c r="N14" s="2">
        <v>7122</v>
      </c>
      <c r="P14" s="6"/>
      <c r="Q14" s="2"/>
    </row>
    <row r="15" spans="1:17" x14ac:dyDescent="0.25">
      <c r="G15" s="3" t="s">
        <v>178</v>
      </c>
      <c r="H15" s="3" t="s">
        <v>177</v>
      </c>
      <c r="M15" s="7" t="s">
        <v>191</v>
      </c>
      <c r="N15" s="2">
        <v>49153</v>
      </c>
      <c r="P15" s="6"/>
      <c r="Q15" s="2"/>
    </row>
    <row r="16" spans="1:17" x14ac:dyDescent="0.25">
      <c r="G16" s="3" t="s">
        <v>13</v>
      </c>
      <c r="H16" t="s">
        <v>41</v>
      </c>
      <c r="I16" t="s">
        <v>12</v>
      </c>
      <c r="J16" t="s">
        <v>9</v>
      </c>
      <c r="K16" t="s">
        <v>25</v>
      </c>
      <c r="M16" s="7" t="s">
        <v>192</v>
      </c>
      <c r="N16" s="2">
        <v>36090</v>
      </c>
      <c r="P16" s="6"/>
      <c r="Q16" s="2"/>
    </row>
    <row r="17" spans="1:17" x14ac:dyDescent="0.25">
      <c r="G17" s="6" t="s">
        <v>24</v>
      </c>
      <c r="H17" s="2">
        <v>2</v>
      </c>
      <c r="I17" s="2">
        <v>4</v>
      </c>
      <c r="J17" s="2">
        <v>3</v>
      </c>
      <c r="K17" s="2">
        <v>5</v>
      </c>
      <c r="M17" s="7" t="s">
        <v>193</v>
      </c>
      <c r="N17" s="2">
        <v>14292</v>
      </c>
      <c r="P17" s="6"/>
      <c r="Q17" s="2"/>
    </row>
    <row r="18" spans="1:17" x14ac:dyDescent="0.25">
      <c r="G18" s="6" t="s">
        <v>10</v>
      </c>
      <c r="H18" s="2">
        <v>17</v>
      </c>
      <c r="I18" s="2">
        <v>19</v>
      </c>
      <c r="J18" s="2">
        <v>25</v>
      </c>
      <c r="K18" s="2">
        <v>28</v>
      </c>
      <c r="M18" s="7" t="s">
        <v>194</v>
      </c>
      <c r="N18" s="2">
        <v>9467</v>
      </c>
      <c r="P18" s="6"/>
      <c r="Q18" s="2"/>
    </row>
    <row r="19" spans="1:17" x14ac:dyDescent="0.25">
      <c r="G19" s="6" t="s">
        <v>11</v>
      </c>
      <c r="H19" s="2">
        <v>3</v>
      </c>
      <c r="I19" s="2">
        <v>4</v>
      </c>
      <c r="J19" s="2">
        <v>6</v>
      </c>
      <c r="K19" s="2">
        <v>4</v>
      </c>
      <c r="M19" s="7" t="s">
        <v>195</v>
      </c>
      <c r="N19" s="2">
        <v>64230</v>
      </c>
      <c r="P19" s="6"/>
      <c r="Q19" s="2"/>
    </row>
    <row r="20" spans="1:17" x14ac:dyDescent="0.25">
      <c r="A20" s="4"/>
      <c r="B20" s="2"/>
      <c r="M20" s="7" t="s">
        <v>196</v>
      </c>
      <c r="N20" s="2">
        <v>24824</v>
      </c>
      <c r="P20" s="6"/>
      <c r="Q20" s="2"/>
    </row>
    <row r="21" spans="1:17" x14ac:dyDescent="0.25">
      <c r="A21" s="4"/>
      <c r="B21" s="2"/>
      <c r="M21" s="7" t="s">
        <v>197</v>
      </c>
      <c r="N21" s="2">
        <v>17759</v>
      </c>
      <c r="P21" s="6"/>
      <c r="Q21" s="2"/>
    </row>
    <row r="22" spans="1:17" x14ac:dyDescent="0.25">
      <c r="A22" s="4"/>
      <c r="B22" s="2"/>
      <c r="M22" s="7" t="s">
        <v>198</v>
      </c>
      <c r="N22" s="2">
        <v>15039</v>
      </c>
      <c r="P22" s="6"/>
      <c r="Q22" s="2"/>
    </row>
    <row r="23" spans="1:17" x14ac:dyDescent="0.25">
      <c r="A23" s="4"/>
      <c r="B23" s="2"/>
      <c r="M23" s="7" t="s">
        <v>199</v>
      </c>
      <c r="N23" s="2">
        <v>48228</v>
      </c>
      <c r="P23" s="6"/>
      <c r="Q23" s="2"/>
    </row>
    <row r="24" spans="1:17" x14ac:dyDescent="0.25">
      <c r="A24" s="4"/>
      <c r="B24" s="2"/>
      <c r="M24" s="7" t="s">
        <v>200</v>
      </c>
      <c r="N24" s="2">
        <v>17688</v>
      </c>
      <c r="P24" s="6"/>
      <c r="Q24" s="2"/>
    </row>
    <row r="25" spans="1:17" x14ac:dyDescent="0.25">
      <c r="A25" s="4"/>
      <c r="B25" s="2"/>
      <c r="M25" s="7" t="s">
        <v>201</v>
      </c>
      <c r="N25" s="2">
        <v>60910</v>
      </c>
      <c r="P25" s="6"/>
      <c r="Q25" s="2"/>
    </row>
    <row r="26" spans="1:17" x14ac:dyDescent="0.25">
      <c r="A26" s="4"/>
      <c r="B26" s="2"/>
      <c r="M26" s="7" t="s">
        <v>202</v>
      </c>
      <c r="N26" s="2">
        <v>23484</v>
      </c>
      <c r="P26" s="6"/>
      <c r="Q26" s="2"/>
    </row>
    <row r="27" spans="1:17" x14ac:dyDescent="0.25">
      <c r="A27" s="4"/>
      <c r="B27" s="2"/>
      <c r="M27" s="7" t="s">
        <v>203</v>
      </c>
      <c r="N27" s="2">
        <v>60015</v>
      </c>
      <c r="P27" s="6"/>
      <c r="Q27" s="2"/>
    </row>
    <row r="28" spans="1:17" x14ac:dyDescent="0.25">
      <c r="A28" s="4"/>
      <c r="B28" s="2"/>
      <c r="M28" s="7" t="s">
        <v>204</v>
      </c>
      <c r="N28" s="2">
        <v>26900</v>
      </c>
      <c r="P28" s="6"/>
      <c r="Q28" s="2"/>
    </row>
    <row r="29" spans="1:17" x14ac:dyDescent="0.25">
      <c r="A29" s="4"/>
      <c r="B29" s="2"/>
      <c r="M29" s="7" t="s">
        <v>205</v>
      </c>
      <c r="N29" s="2">
        <v>27741</v>
      </c>
      <c r="P29" s="6"/>
      <c r="Q29" s="2"/>
    </row>
    <row r="30" spans="1:17" x14ac:dyDescent="0.25">
      <c r="A30" s="4"/>
      <c r="B30" s="2"/>
      <c r="M30" s="7" t="s">
        <v>206</v>
      </c>
      <c r="N30" s="2">
        <v>14132</v>
      </c>
      <c r="P30" s="6"/>
      <c r="Q30" s="2"/>
    </row>
    <row r="31" spans="1:17" x14ac:dyDescent="0.25">
      <c r="A31" s="4"/>
      <c r="B31" s="2"/>
      <c r="M31" s="7" t="s">
        <v>207</v>
      </c>
      <c r="N31" s="2">
        <v>21306</v>
      </c>
      <c r="P31" s="6"/>
      <c r="Q31" s="2"/>
    </row>
    <row r="32" spans="1:17" x14ac:dyDescent="0.25">
      <c r="A32" s="4"/>
      <c r="B32" s="2"/>
      <c r="M32" s="7" t="s">
        <v>208</v>
      </c>
      <c r="N32" s="2">
        <v>44035</v>
      </c>
      <c r="P32" s="6"/>
      <c r="Q32" s="2"/>
    </row>
    <row r="33" spans="13:17" x14ac:dyDescent="0.25">
      <c r="M33" s="7" t="s">
        <v>209</v>
      </c>
      <c r="N33" s="2">
        <v>30520</v>
      </c>
      <c r="P33" s="6"/>
      <c r="Q33" s="2"/>
    </row>
    <row r="34" spans="13:17" x14ac:dyDescent="0.25">
      <c r="M34" s="7" t="s">
        <v>210</v>
      </c>
      <c r="N34" s="2">
        <v>14170</v>
      </c>
      <c r="P34" s="6"/>
      <c r="Q34" s="2"/>
    </row>
    <row r="35" spans="13:17" x14ac:dyDescent="0.25">
      <c r="M35" s="7" t="s">
        <v>211</v>
      </c>
      <c r="N35" s="2">
        <v>45795</v>
      </c>
      <c r="P35" s="6"/>
      <c r="Q35" s="2"/>
    </row>
    <row r="36" spans="13:17" x14ac:dyDescent="0.25">
      <c r="M36" s="7" t="s">
        <v>212</v>
      </c>
      <c r="N36" s="2">
        <v>51897</v>
      </c>
    </row>
    <row r="37" spans="13:17" x14ac:dyDescent="0.25">
      <c r="M37" s="7" t="s">
        <v>213</v>
      </c>
      <c r="N37" s="2">
        <v>36285</v>
      </c>
    </row>
    <row r="38" spans="13:17" x14ac:dyDescent="0.25">
      <c r="M38" s="7" t="s">
        <v>214</v>
      </c>
      <c r="N38" s="2">
        <v>40623</v>
      </c>
    </row>
    <row r="39" spans="13:17" x14ac:dyDescent="0.25">
      <c r="M39" s="7" t="s">
        <v>215</v>
      </c>
      <c r="N39" s="2">
        <v>8565</v>
      </c>
    </row>
    <row r="40" spans="13:17" x14ac:dyDescent="0.25">
      <c r="M40" s="7" t="s">
        <v>216</v>
      </c>
      <c r="N40" s="2">
        <v>50560</v>
      </c>
    </row>
    <row r="41" spans="13:17" x14ac:dyDescent="0.25">
      <c r="M41" s="7" t="s">
        <v>217</v>
      </c>
      <c r="N41" s="2">
        <v>36300</v>
      </c>
    </row>
    <row r="42" spans="13:17" x14ac:dyDescent="0.25">
      <c r="M42" s="7" t="s">
        <v>218</v>
      </c>
      <c r="N42" s="2">
        <v>55128</v>
      </c>
    </row>
    <row r="43" spans="13:17" x14ac:dyDescent="0.25">
      <c r="M43" s="7" t="s">
        <v>219</v>
      </c>
      <c r="N43" s="2">
        <v>7639</v>
      </c>
    </row>
    <row r="44" spans="13:17" x14ac:dyDescent="0.25">
      <c r="M44" s="7" t="s">
        <v>220</v>
      </c>
      <c r="N44" s="2">
        <v>26400</v>
      </c>
    </row>
    <row r="45" spans="13:17" x14ac:dyDescent="0.25">
      <c r="M45" s="7" t="s">
        <v>221</v>
      </c>
      <c r="N45" s="2">
        <v>18640</v>
      </c>
    </row>
    <row r="46" spans="13:17" x14ac:dyDescent="0.25">
      <c r="M46" s="7" t="s">
        <v>222</v>
      </c>
      <c r="N46" s="2">
        <v>43585</v>
      </c>
    </row>
    <row r="47" spans="13:17" x14ac:dyDescent="0.25">
      <c r="M47" s="7" t="s">
        <v>223</v>
      </c>
      <c r="N47" s="2">
        <v>45805</v>
      </c>
    </row>
    <row r="48" spans="13:17" x14ac:dyDescent="0.25">
      <c r="M48" s="7" t="s">
        <v>224</v>
      </c>
      <c r="N48" s="2">
        <v>8922</v>
      </c>
    </row>
    <row r="49" spans="13:14" x14ac:dyDescent="0.25">
      <c r="M49" s="7" t="s">
        <v>225</v>
      </c>
      <c r="N49" s="2">
        <v>29649</v>
      </c>
    </row>
    <row r="50" spans="13:14" x14ac:dyDescent="0.25">
      <c r="M50" s="7" t="s">
        <v>226</v>
      </c>
      <c r="N50" s="2">
        <v>37664</v>
      </c>
    </row>
    <row r="51" spans="13:14" x14ac:dyDescent="0.25">
      <c r="M51" s="7" t="s">
        <v>227</v>
      </c>
      <c r="N51" s="2">
        <v>98025</v>
      </c>
    </row>
    <row r="52" spans="13:14" x14ac:dyDescent="0.25">
      <c r="M52" s="7" t="s">
        <v>228</v>
      </c>
      <c r="N52" s="2">
        <v>48845</v>
      </c>
    </row>
    <row r="53" spans="13:14" x14ac:dyDescent="0.25">
      <c r="M53" s="7" t="s">
        <v>229</v>
      </c>
      <c r="N53" s="2">
        <v>49895</v>
      </c>
    </row>
    <row r="54" spans="13:14" x14ac:dyDescent="0.25">
      <c r="M54" s="7" t="s">
        <v>230</v>
      </c>
      <c r="N54" s="2">
        <v>38037</v>
      </c>
    </row>
    <row r="55" spans="13:14" x14ac:dyDescent="0.25">
      <c r="M55" s="7" t="s">
        <v>231</v>
      </c>
      <c r="N55" s="2">
        <v>46200</v>
      </c>
    </row>
    <row r="56" spans="13:14" x14ac:dyDescent="0.25">
      <c r="M56" s="7" t="s">
        <v>232</v>
      </c>
      <c r="N56" s="2">
        <v>27640</v>
      </c>
    </row>
    <row r="57" spans="13:14" x14ac:dyDescent="0.25">
      <c r="M57" s="7" t="s">
        <v>233</v>
      </c>
      <c r="N57" s="2">
        <v>60570</v>
      </c>
    </row>
    <row r="58" spans="13:14" x14ac:dyDescent="0.25">
      <c r="M58" s="7" t="s">
        <v>234</v>
      </c>
      <c r="N58" s="2">
        <v>37930</v>
      </c>
    </row>
    <row r="59" spans="13:14" x14ac:dyDescent="0.25">
      <c r="M59" s="7" t="s">
        <v>235</v>
      </c>
      <c r="N59" s="2">
        <v>34106</v>
      </c>
    </row>
    <row r="60" spans="13:14" x14ac:dyDescent="0.25">
      <c r="M60" s="7" t="s">
        <v>236</v>
      </c>
      <c r="N60" s="2">
        <v>47350</v>
      </c>
    </row>
    <row r="61" spans="13:14" x14ac:dyDescent="0.25">
      <c r="M61" s="7" t="s">
        <v>237</v>
      </c>
      <c r="N61" s="2">
        <v>17928</v>
      </c>
    </row>
    <row r="62" spans="13:14" x14ac:dyDescent="0.25">
      <c r="M62" s="7" t="s">
        <v>238</v>
      </c>
      <c r="N62" s="2">
        <v>9754</v>
      </c>
    </row>
    <row r="63" spans="13:14" x14ac:dyDescent="0.25">
      <c r="M63" s="7" t="s">
        <v>239</v>
      </c>
      <c r="N63" s="2">
        <v>20781</v>
      </c>
    </row>
    <row r="64" spans="13:14" x14ac:dyDescent="0.25">
      <c r="M64" s="7" t="s">
        <v>240</v>
      </c>
      <c r="N64" s="2">
        <v>25228</v>
      </c>
    </row>
    <row r="65" spans="13:14" x14ac:dyDescent="0.25">
      <c r="M65" s="7" t="s">
        <v>241</v>
      </c>
      <c r="N65" s="2">
        <v>54401</v>
      </c>
    </row>
    <row r="66" spans="13:14" x14ac:dyDescent="0.25">
      <c r="M66" s="7" t="s">
        <v>242</v>
      </c>
      <c r="N66" s="2">
        <v>25255</v>
      </c>
    </row>
    <row r="67" spans="13:14" x14ac:dyDescent="0.25">
      <c r="M67" s="7" t="s">
        <v>243</v>
      </c>
      <c r="N67" s="2">
        <v>24362</v>
      </c>
    </row>
    <row r="68" spans="13:14" x14ac:dyDescent="0.25">
      <c r="M68" s="7" t="s">
        <v>244</v>
      </c>
      <c r="N68" s="2">
        <v>7387</v>
      </c>
    </row>
    <row r="69" spans="13:14" x14ac:dyDescent="0.25">
      <c r="M69" s="7" t="s">
        <v>245</v>
      </c>
      <c r="N69" s="2">
        <v>35528</v>
      </c>
    </row>
    <row r="70" spans="13:14" x14ac:dyDescent="0.25">
      <c r="M70" s="7" t="s">
        <v>246</v>
      </c>
      <c r="N70" s="2">
        <v>9122</v>
      </c>
    </row>
    <row r="71" spans="13:14" x14ac:dyDescent="0.25">
      <c r="M71" s="7" t="s">
        <v>247</v>
      </c>
      <c r="N71" s="2">
        <v>11670</v>
      </c>
    </row>
    <row r="72" spans="13:14" x14ac:dyDescent="0.25">
      <c r="M72" s="7" t="s">
        <v>248</v>
      </c>
      <c r="N72" s="2">
        <v>27280</v>
      </c>
    </row>
    <row r="73" spans="13:14" x14ac:dyDescent="0.25">
      <c r="M73" s="7" t="s">
        <v>249</v>
      </c>
      <c r="N73" s="2">
        <v>24954</v>
      </c>
    </row>
    <row r="74" spans="13:14" x14ac:dyDescent="0.25">
      <c r="M74" s="7" t="s">
        <v>250</v>
      </c>
      <c r="N74" s="2">
        <v>5553</v>
      </c>
    </row>
    <row r="75" spans="13:14" x14ac:dyDescent="0.25">
      <c r="M75" s="7" t="s">
        <v>251</v>
      </c>
      <c r="N75" s="2">
        <v>37165</v>
      </c>
    </row>
    <row r="76" spans="13:14" x14ac:dyDescent="0.25">
      <c r="M76" s="7" t="s">
        <v>252</v>
      </c>
      <c r="N76" s="2">
        <v>28815</v>
      </c>
    </row>
    <row r="77" spans="13:14" x14ac:dyDescent="0.25">
      <c r="M77" s="7" t="s">
        <v>253</v>
      </c>
      <c r="N77" s="2">
        <v>38934</v>
      </c>
    </row>
    <row r="78" spans="13:14" x14ac:dyDescent="0.25">
      <c r="M78" s="7" t="s">
        <v>254</v>
      </c>
      <c r="N78" s="2">
        <v>103314</v>
      </c>
    </row>
    <row r="79" spans="13:14" x14ac:dyDescent="0.25">
      <c r="M79" s="7" t="s">
        <v>255</v>
      </c>
      <c r="N79" s="2">
        <v>5826</v>
      </c>
    </row>
    <row r="80" spans="13:14" x14ac:dyDescent="0.25">
      <c r="M80" s="7" t="s">
        <v>256</v>
      </c>
      <c r="N80" s="2">
        <v>51865</v>
      </c>
    </row>
    <row r="81" spans="13:14" x14ac:dyDescent="0.25">
      <c r="M81" s="7" t="s">
        <v>257</v>
      </c>
      <c r="N81" s="2">
        <v>18932</v>
      </c>
    </row>
    <row r="82" spans="13:14" x14ac:dyDescent="0.25">
      <c r="M82" s="7" t="s">
        <v>258</v>
      </c>
      <c r="N82" s="2">
        <v>16143</v>
      </c>
    </row>
    <row r="83" spans="13:14" x14ac:dyDescent="0.25">
      <c r="M83" s="7" t="s">
        <v>259</v>
      </c>
      <c r="N83" s="2">
        <v>50720</v>
      </c>
    </row>
    <row r="84" spans="13:14" x14ac:dyDescent="0.25">
      <c r="M84" s="7" t="s">
        <v>260</v>
      </c>
      <c r="N84" s="2">
        <v>43663</v>
      </c>
    </row>
    <row r="85" spans="13:14" x14ac:dyDescent="0.25">
      <c r="M85" s="7" t="s">
        <v>261</v>
      </c>
      <c r="N85" s="2">
        <v>42755</v>
      </c>
    </row>
    <row r="86" spans="13:14" x14ac:dyDescent="0.25">
      <c r="M86" s="7" t="s">
        <v>262</v>
      </c>
      <c r="N86" s="2">
        <v>62520</v>
      </c>
    </row>
    <row r="87" spans="13:14" x14ac:dyDescent="0.25">
      <c r="M87" s="7" t="s">
        <v>263</v>
      </c>
      <c r="N87" s="2">
        <v>12139</v>
      </c>
    </row>
    <row r="88" spans="13:14" x14ac:dyDescent="0.25">
      <c r="M88" s="7" t="s">
        <v>264</v>
      </c>
      <c r="N88" s="2">
        <v>35628</v>
      </c>
    </row>
    <row r="89" spans="13:14" x14ac:dyDescent="0.25">
      <c r="M89" s="7" t="s">
        <v>265</v>
      </c>
      <c r="N89" s="2">
        <v>14126</v>
      </c>
    </row>
    <row r="90" spans="13:14" x14ac:dyDescent="0.25">
      <c r="M90" s="7" t="s">
        <v>266</v>
      </c>
      <c r="N90" s="2">
        <v>8776</v>
      </c>
    </row>
    <row r="91" spans="13:14" x14ac:dyDescent="0.25">
      <c r="M91" s="7" t="s">
        <v>267</v>
      </c>
      <c r="N91" s="2">
        <v>62843</v>
      </c>
    </row>
    <row r="92" spans="13:14" x14ac:dyDescent="0.25">
      <c r="M92" s="7" t="s">
        <v>268</v>
      </c>
      <c r="N92" s="2">
        <v>18372</v>
      </c>
    </row>
    <row r="93" spans="13:14" x14ac:dyDescent="0.25">
      <c r="M93" s="7" t="s">
        <v>269</v>
      </c>
      <c r="N93" s="2">
        <v>49535</v>
      </c>
    </row>
    <row r="94" spans="13:14" x14ac:dyDescent="0.25">
      <c r="M94" s="7" t="s">
        <v>270</v>
      </c>
      <c r="N94" s="2">
        <v>19648</v>
      </c>
    </row>
    <row r="95" spans="13:14" x14ac:dyDescent="0.25">
      <c r="M95" s="7" t="s">
        <v>271</v>
      </c>
      <c r="N95" s="2">
        <v>24622</v>
      </c>
    </row>
    <row r="96" spans="13:14" x14ac:dyDescent="0.25">
      <c r="M96" s="7" t="s">
        <v>272</v>
      </c>
      <c r="N96" s="2">
        <v>9087</v>
      </c>
    </row>
    <row r="97" spans="13:14" x14ac:dyDescent="0.25">
      <c r="M97" s="7" t="s">
        <v>273</v>
      </c>
      <c r="N97" s="2">
        <v>16284</v>
      </c>
    </row>
    <row r="98" spans="13:14" x14ac:dyDescent="0.25">
      <c r="M98" s="7" t="s">
        <v>274</v>
      </c>
      <c r="N98" s="2">
        <v>15510</v>
      </c>
    </row>
    <row r="99" spans="13:14" x14ac:dyDescent="0.25">
      <c r="M99" s="7" t="s">
        <v>275</v>
      </c>
      <c r="N99" s="2">
        <v>37704</v>
      </c>
    </row>
    <row r="100" spans="13:14" x14ac:dyDescent="0.25">
      <c r="M100" s="7" t="s">
        <v>276</v>
      </c>
      <c r="N100" s="2">
        <v>7675</v>
      </c>
    </row>
    <row r="101" spans="13:14" x14ac:dyDescent="0.25">
      <c r="M101" s="7" t="s">
        <v>277</v>
      </c>
      <c r="N101" s="2">
        <v>49908</v>
      </c>
    </row>
    <row r="102" spans="13:14" x14ac:dyDescent="0.25">
      <c r="M102" s="7" t="s">
        <v>278</v>
      </c>
      <c r="N102" s="2">
        <v>18214</v>
      </c>
    </row>
    <row r="103" spans="13:14" x14ac:dyDescent="0.25">
      <c r="M103" s="7" t="s">
        <v>279</v>
      </c>
      <c r="N103" s="2">
        <v>51888</v>
      </c>
    </row>
    <row r="104" spans="13:14" x14ac:dyDescent="0.25">
      <c r="M104" s="7" t="s">
        <v>280</v>
      </c>
      <c r="N104" s="2">
        <v>51332</v>
      </c>
    </row>
  </sheetData>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91" zoomScaleNormal="91" workbookViewId="0">
      <selection activeCell="Y29" sqref="Y29"/>
    </sheetView>
  </sheetViews>
  <sheetFormatPr defaultRowHeight="15" x14ac:dyDescent="0.25"/>
  <cols>
    <col min="1" max="16384" width="9.140625" style="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C5239C3-16E1-4AC2-9CC5-34E8C9597E6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Radisson hotel data</vt:lpstr>
      <vt:lpstr>pivote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2025-11-10T05:41:41Z</dcterms:created>
  <dcterms:modified xsi:type="dcterms:W3CDTF">2025-12-11T04:21:25Z</dcterms:modified>
</cp:coreProperties>
</file>